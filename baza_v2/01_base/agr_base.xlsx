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f2932a344b47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9ce8217490d411d"/>
    <x:sheet xmlns:r="http://schemas.openxmlformats.org/officeDocument/2006/relationships" name="Сводная база" sheetId="2" r:id="R30d30b456126440d"/>
    <x:sheet xmlns:r="http://schemas.openxmlformats.org/officeDocument/2006/relationships" name="Финансы 3 года" sheetId="3" r:id="Rb98194bd886e4168"/>
    <x:sheet xmlns:r="http://schemas.openxmlformats.org/officeDocument/2006/relationships" name="EBITDA по источникам" sheetId="4" r:id="R737063236b6c4e92"/>
    <x:sheet xmlns:r="http://schemas.openxmlformats.org/officeDocument/2006/relationships" name="Расчет EBITDA и долга" sheetId="5" r:id="R8fb0f29644bf4af0"/>
    <x:sheet xmlns:r="http://schemas.openxmlformats.org/officeDocument/2006/relationships" name="EV bridge" sheetId="6" r:id="R7d929094ab73465c"/>
    <x:sheet xmlns:r="http://schemas.openxmlformats.org/officeDocument/2006/relationships" name="Источники" sheetId="7" r:id="Rac233e8910184a4a"/>
    <x:sheet xmlns:r="http://schemas.openxmlformats.org/officeDocument/2006/relationships" name="Проверки" sheetId="8" r:id="R8955d21cd9cc45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;[Red](#,##0.0);-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11"/>
      <x:color rgb="FF008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4">
    <x:border/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3" xfId="0" applyNumberFormat="1" applyFont="1" applyFill="1" applyBorder="1"/>
    <x:xf numFmtId="0" fontId="0" fillId="5" borderId="2" xfId="0" applyNumberFormat="1" applyFont="1" applyFill="1" applyBorder="1"/>
    <x:xf numFmtId="200" fontId="0" fillId="5" borderId="2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wrapText="1"/>
    </x:xf>
    <x:xf numFmtId="200" fontId="0" fillId="5" borderId="2" xfId="0" applyNumberFormat="1" applyFont="1" applyFill="1" applyBorder="1" applyAlignment="1">
      <x:alignment wrapText="1"/>
    </x:xf>
    <x:xf numFmtId="200" fontId="0" fillId="0" borderId="3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200" fontId="3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5" borderId="0" xfId="0" applyNumberFormat="1" applyFont="1" applyFill="1" applyBorder="1"/>
    <x:xf numFmtId="0" fontId="3" fillId="5" borderId="0" xfId="0" applyNumberFormat="1" applyFont="1" applyFill="1" applyBorder="1"/>
    <x:xf numFmtId="200" fontId="3" fillId="0" borderId="1" xfId="0" applyNumberFormat="1" applyFont="1" applyFill="1" applyBorder="1"/>
    <x:xf numFmtId="0" fontId="3" fillId="0" borderId="1" xfId="0" applyNumberFormat="1" applyFont="1" applyFill="1" applyBorder="1"/>
    <x:xf numFmtId="200" fontId="3" fillId="0" borderId="2" xfId="0" applyNumberFormat="1" applyFont="1" applyFill="1" applyBorder="1"/>
    <x:xf numFmtId="0" fontId="3" fillId="0" borderId="2" xfId="0" applyNumberFormat="1" applyFont="1" applyFill="1" applyBorder="1"/>
    <x:xf numFmtId="200" fontId="3" fillId="5" borderId="2" xfId="0" applyNumberFormat="1" applyFont="1" applyFill="1" applyBorder="1"/>
    <x:xf numFmtId="0" fontId="3" fillId="5" borderId="2" xfId="0" applyNumberFormat="1" applyFont="1" applyFill="1" applyBorder="1"/>
    <x:xf numFmtId="200" fontId="3" fillId="0" borderId="3" xfId="0" applyNumberFormat="1" applyFont="1" applyFill="1" applyBorder="1"/>
    <x:xf numFmtId="0" fontId="3" fillId="0" borderId="3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ff884c009f4c43" /><Relationship Type="http://schemas.openxmlformats.org/officeDocument/2006/relationships/theme" Target="/xl/theme/theme1.xml" Id="Rd5534504ccea42e4" /><Relationship Type="http://schemas.openxmlformats.org/officeDocument/2006/relationships/sharedStrings" Target="/xl/sharedStrings.xml" Id="Ra34f4060da9b414e" /><Relationship Type="http://schemas.openxmlformats.org/officeDocument/2006/relationships/worksheet" Target="/xl/worksheets/sheet1.xml" Id="R49ce8217490d411d" /><Relationship Type="http://schemas.openxmlformats.org/officeDocument/2006/relationships/worksheet" Target="/xl/worksheets/sheet2.xml" Id="R30d30b456126440d" /><Relationship Type="http://schemas.openxmlformats.org/officeDocument/2006/relationships/worksheet" Target="/xl/worksheets/sheet3.xml" Id="Rb98194bd886e4168" /><Relationship Type="http://schemas.openxmlformats.org/officeDocument/2006/relationships/worksheet" Target="/xl/worksheets/sheet4.xml" Id="R737063236b6c4e92" /><Relationship Type="http://schemas.openxmlformats.org/officeDocument/2006/relationships/worksheet" Target="/xl/worksheets/sheet5.xml" Id="R8fb0f29644bf4af0" /><Relationship Type="http://schemas.openxmlformats.org/officeDocument/2006/relationships/worksheet" Target="/xl/worksheets/sheet6.xml" Id="R7d929094ab73465c" /><Relationship Type="http://schemas.openxmlformats.org/officeDocument/2006/relationships/worksheet" Target="/xl/worksheets/sheet7.xml" Id="Rac233e8910184a4a" /><Relationship Type="http://schemas.openxmlformats.org/officeDocument/2006/relationships/worksheet" Target="/xl/worksheets/sheet8.xml" Id="R8955d21cd9cc45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0" hidden="0" customWidth="1"/>
  </x:cols>
  <x:sheetData>
    <x:row r="1" ht="27" customHeight="1">
      <x:c r="A1" s="2" t="str">
        <x:v>Как читать базу</x:v>
      </x:c>
      <x:c r="B1" s="2"/>
      <x:c r="C1" s="2"/>
      <x:c r="D1" s="2"/>
      <x:c r="E1" s="2"/>
      <x:c r="F1" s="2"/>
      <x:c r="G1" s="2"/>
      <x:c r="H1" s="2"/>
    </x:row>
    <x:row r="3">
      <x:c r="A3" s="5" t="str">
        <x:v>Поле</x:v>
      </x:c>
      <x:c r="B3" s="5" t="str">
        <x:v>Правило</x:v>
      </x:c>
    </x:row>
    <x:row r="4">
      <x:c r="A4" s="6" t="str">
        <x:v>Выручка и чистая прибыль</x:v>
      </x:c>
      <x:c r="B4" s="6" t="str">
        <x:v>Только консолидированная отчетность МСФО.</x:v>
      </x:c>
    </x:row>
    <x:row r="5">
      <x:c r="A5" s="6" t="str">
        <x:v>EBITDA-варианты</x:v>
      </x:c>
      <x:c r="B5" s="6" t="str">
        <x:v>Каждый вид сгруппирован одинаково: МСФО / отчет эмитента / презентация или пресс-релиз.</x:v>
      </x:c>
    </x:row>
    <x:row r="6">
      <x:c r="A6" s="6" t="str">
        <x:v>Расчетная EBITDA</x:v>
      </x:c>
      <x:c r="B6" s="6" t="str">
        <x:v>Только по опубликованной методике компании и на показателях МСФО.</x:v>
      </x:c>
    </x:row>
    <x:row r="7">
      <x:c r="A7" s="6" t="str">
        <x:v>н.д.</x:v>
      </x:c>
      <x:c r="B7" s="6" t="str">
        <x:v>Не раскрыто или нет достаточных исходных данных.</x:v>
      </x:c>
    </x:row>
    <x:row r="8">
      <x:c r="A8" s="6" t="str">
        <x:v>н.п.</x:v>
      </x:c>
      <x:c r="B8" s="6" t="str">
        <x:v>Не применимо (например, EBITDA для банка).</x:v>
      </x:c>
    </x:row>
    <x:row r="9">
      <x:c r="A9" s="6" t="str">
        <x:v>2023 и CAGR</x:v>
      </x:c>
      <x:c r="B9" s="6" t="str">
        <x:v>Не заполняются без подтвержденных данных 2023 года. У Норникеля 2023 раскрыт в МСФО.</x:v>
      </x:c>
    </x:row>
    <x:row r="10">
      <x:c r="A10" s="6" t="str">
        <x:v>Котировки</x:v>
      </x:c>
      <x:c r="B10" s="6" t="str">
        <x:v>Не загружались и не рассчитывались по прямому указанию пользователя.</x:v>
      </x:c>
    </x:row>
    <x:row r="11">
      <x:c r="A11" s="6" t="str">
        <x:v>Мультипликаторы</x:v>
      </x:c>
      <x:c r="B11" s="6" t="str">
        <x:v>Не рассчитываются до загрузки пользователем котировок.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7" hidden="0" customWidth="1"/>
    <x:col min="8" max="8" width="17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7" hidden="0" customWidth="1"/>
    <x:col min="25" max="25" width="17" hidden="0" customWidth="1"/>
    <x:col min="26" max="26" width="17" hidden="0" customWidth="1"/>
    <x:col min="27" max="27" width="42" hidden="0" customWidth="1"/>
    <x:col min="28" max="28" width="14" hidden="0" customWidth="1"/>
  </x:cols>
  <x:sheetData>
    <x:row r="1" ht="27" customHeight="1">
      <x:c r="A1" s="2" t="str">
        <x:v>База по компаниям из загруженного комплекта — без котировок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 ht="36" customHeight="1">
      <x:c r="A2" s="8" t="str">
        <x:v>Выручка и чистая прибыль — только МСФО. Каждый вид EBITDA показан отдельно по трем источникам. Норникель выделен желтым: МСФО — USD, значение из отчета эмитента — RUB; эти валюты не смешиваются в расчетах.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  <x:c r="AA2" s="8"/>
      <x:c r="AB2" s="8"/>
    </x:row>
    <x:row r="4">
      <x:c r="A4" s="9" t="str">
        <x:v>№</x:v>
      </x:c>
      <x:c r="B4" s="9" t="str">
        <x:v>Компания</x:v>
      </x:c>
      <x:c r="C4" s="9" t="str">
        <x:v>Тикер</x:v>
      </x:c>
      <x:c r="D4" s="9" t="str">
        <x:v>Отрасль</x:v>
      </x:c>
      <x:c r="E4" s="9" t="str">
        <x:v>Статус</x:v>
      </x:c>
      <x:c r="F4" s="9" t="str">
        <x:v>Валюта МСФО</x:v>
      </x:c>
      <x:c r="G4" s="9" t="str">
        <x:v>Выручка 2025</x:v>
      </x:c>
      <x:c r="H4" s="9" t="str">
        <x:v>Чистая прибыль 2025</x:v>
      </x:c>
      <x:c r="I4" s="21" t="str">
        <x:v>EBITDA</x:v>
      </x:c>
      <x:c r="J4" s="21"/>
      <x:c r="K4" s="21"/>
      <x:c r="L4" s="21" t="str">
        <x:v>Скорр. EBITDA</x:v>
      </x:c>
      <x:c r="M4" s="21"/>
      <x:c r="N4" s="21"/>
      <x:c r="O4" s="21" t="str">
        <x:v>EBITDA до применения МСФО 16</x:v>
      </x:c>
      <x:c r="P4" s="21"/>
      <x:c r="Q4" s="21"/>
      <x:c r="R4" s="21" t="str">
        <x:v>EBITDAC</x:v>
      </x:c>
      <x:c r="S4" s="21"/>
      <x:c r="T4" s="21"/>
      <x:c r="U4" s="21" t="str">
        <x:v>OIBDA</x:v>
      </x:c>
      <x:c r="V4" s="21"/>
      <x:c r="W4" s="21"/>
      <x:c r="X4" s="9" t="str">
        <x:v>Чистый долг</x:v>
      </x:c>
      <x:c r="Y4" s="9" t="str">
        <x:v>CAGR выручки 23–25</x:v>
      </x:c>
      <x:c r="Z4" s="9" t="str">
        <x:v>CAGR ЧП 23–25</x:v>
      </x:c>
      <x:c r="AA4" s="9" t="str">
        <x:v>Источник МСФО</x:v>
      </x:c>
      <x:c r="AB4" s="9" t="str">
        <x:v>Страница</x:v>
      </x:c>
    </x:row>
    <x:row r="5" ht="42" customHeight="1">
      <x:c r="A5" s="9"/>
      <x:c r="B5" s="9"/>
      <x:c r="C5" s="9"/>
      <x:c r="D5" s="9"/>
      <x:c r="E5" s="9"/>
      <x:c r="F5" s="9"/>
      <x:c r="G5" s="9"/>
      <x:c r="H5" s="9"/>
      <x:c r="I5" s="5" t="str">
        <x:v>МСФО</x:v>
      </x:c>
      <x:c r="J5" s="5" t="str">
        <x:v>Отчет эмитента</x:v>
      </x:c>
      <x:c r="K5" s="5" t="str">
        <x:v>Презентация / пресс-релиз</x:v>
      </x:c>
      <x:c r="L5" s="5" t="str">
        <x:v>МСФО</x:v>
      </x:c>
      <x:c r="M5" s="5" t="str">
        <x:v>Отчет эмитента</x:v>
      </x:c>
      <x:c r="N5" s="5" t="str">
        <x:v>Презентация / пресс-релиз</x:v>
      </x:c>
      <x:c r="O5" s="5" t="str">
        <x:v>МСФО</x:v>
      </x:c>
      <x:c r="P5" s="5" t="str">
        <x:v>Отчет эмитента</x:v>
      </x:c>
      <x:c r="Q5" s="5" t="str">
        <x:v>Презентация / пресс-релиз</x:v>
      </x:c>
      <x:c r="R5" s="5" t="str">
        <x:v>МСФО</x:v>
      </x:c>
      <x:c r="S5" s="5" t="str">
        <x:v>Отчет эмитента</x:v>
      </x:c>
      <x:c r="T5" s="5" t="str">
        <x:v>Презентация / пресс-релиз</x:v>
      </x:c>
      <x:c r="U5" s="5" t="str">
        <x:v>МСФО</x:v>
      </x:c>
      <x:c r="V5" s="5" t="str">
        <x:v>Отчет эмитента</x:v>
      </x:c>
      <x:c r="W5" s="5" t="str">
        <x:v>Презентация / пресс-релиз</x:v>
      </x:c>
      <x:c r="X5" s="9"/>
      <x:c r="Y5" s="9"/>
      <x:c r="Z5" s="9"/>
      <x:c r="AA5" s="9"/>
      <x:c r="AB5" s="9"/>
    </x:row>
    <x:row r="6">
      <x:c r="A6" s="11" t="n">
        <x:v>1</x:v>
      </x:c>
      <x:c r="B6" s="11" t="str">
        <x:v>ЛУКОЙЛ</x:v>
      </x:c>
      <x:c r="C6" s="11" t="str">
        <x:v>LKOH</x:v>
      </x:c>
      <x:c r="D6" s="11" t="str">
        <x:v>Нефть и газ</x:v>
      </x:c>
      <x:c r="E6" s="11" t="str">
        <x:v>Есть МСФО</x:v>
      </x:c>
      <x:c r="F6" s="11" t="str">
        <x:v>RUB</x:v>
      </x:c>
      <x:c r="G6" s="32" t="n">
        <x:f>IF('Финансы 3 года'!E7="","н.д.",'Финансы 3 года'!E7)</x:f>
        <x:v>3767768</x:v>
      </x:c>
      <x:c r="H6" s="32" t="n">
        <x:f>IF('Финансы 3 года'!F7="","н.д.",'Финансы 3 года'!F7)</x:f>
        <x:v>92528</x:v>
      </x:c>
      <x:c r="I6" s="32" t="n">
        <x:f>'EBITDA по источникам'!D7</x:f>
        <x:v>892086</x:v>
      </x:c>
      <x:c r="J6" s="32" t="n">
        <x:f>'EBITDA по источникам'!E7</x:f>
        <x:v>892086</x:v>
      </x:c>
      <x:c r="K6" s="32" t="str">
        <x:f>'EBITDA по источникам'!F7</x:f>
        <x:v>н.д.</x:v>
      </x:c>
      <x:c r="L6" s="32" t="str">
        <x:f>'EBITDA по источникам'!G7</x:f>
        <x:v>н.д.</x:v>
      </x:c>
      <x:c r="M6" s="32" t="str">
        <x:f>'EBITDA по источникам'!H7</x:f>
        <x:v>н.д.</x:v>
      </x:c>
      <x:c r="N6" s="32" t="str">
        <x:f>'EBITDA по источникам'!I7</x:f>
        <x:v>н.д.</x:v>
      </x:c>
      <x:c r="O6" s="32" t="str">
        <x:f>'EBITDA по источникам'!J7</x:f>
        <x:v>н.п.</x:v>
      </x:c>
      <x:c r="P6" s="32" t="str">
        <x:f>'EBITDA по источникам'!K7</x:f>
        <x:v>н.п.</x:v>
      </x:c>
      <x:c r="Q6" s="32" t="str">
        <x:f>'EBITDA по источникам'!L7</x:f>
        <x:v>н.п.</x:v>
      </x:c>
      <x:c r="R6" s="32" t="str">
        <x:f>'EBITDA по источникам'!M7</x:f>
        <x:v>н.п.</x:v>
      </x:c>
      <x:c r="S6" s="32" t="str">
        <x:f>'EBITDA по источникам'!N7</x:f>
        <x:v>н.п.</x:v>
      </x:c>
      <x:c r="T6" s="32" t="str">
        <x:f>'EBITDA по источникам'!O7</x:f>
        <x:v>н.п.</x:v>
      </x:c>
      <x:c r="U6" s="32" t="str">
        <x:f>'EBITDA по источникам'!P7</x:f>
        <x:v>н.п.</x:v>
      </x:c>
      <x:c r="V6" s="32" t="str">
        <x:f>'EBITDA по источникам'!Q7</x:f>
        <x:v>н.п.</x:v>
      </x:c>
      <x:c r="W6" s="32" t="str">
        <x:f>'EBITDA по источникам'!R7</x:f>
        <x:v>н.п.</x:v>
      </x:c>
      <x:c r="X6" s="32" t="n">
        <x:f>IF('Финансы 3 года'!S7="","н.д.",'Финансы 3 года'!S7)</x:f>
        <x:v>-225803</x:v>
      </x:c>
      <x:c r="Y6" s="32"/>
      <x:c r="Z6" s="32"/>
      <x:c r="AA6" s="33" t="str">
        <x:f>'Финансы 3 года'!T7</x:f>
        <x:v>Лукойл_МСФО_2025.pdf</x:v>
      </x:c>
      <x:c r="AB6" s="33" t="str">
        <x:f>'Финансы 3 года'!U7</x:f>
        <x:v>7</x:v>
      </x:c>
    </x:row>
    <x:row r="7">
      <x:c r="A7" s="13" t="n">
        <x:v>2</x:v>
      </x:c>
      <x:c r="B7" s="13" t="str">
        <x:v>ГАЗПРОМ</x:v>
      </x:c>
      <x:c r="C7" s="13" t="str">
        <x:v>GAZP</x:v>
      </x:c>
      <x:c r="D7" s="13" t="str">
        <x:v>Нефть и газ</x:v>
      </x:c>
      <x:c r="E7" s="13" t="str">
        <x:v>Есть МСФО</x:v>
      </x:c>
      <x:c r="F7" s="13" t="str">
        <x:v>RUB</x:v>
      </x:c>
      <x:c r="G7" s="34" t="n">
        <x:f>IF('Финансы 3 года'!E10="","н.д.",'Финансы 3 года'!E10)</x:f>
        <x:v>9770671</x:v>
      </x:c>
      <x:c r="H7" s="34" t="n">
        <x:f>IF('Финансы 3 года'!F10="","н.д.",'Финансы 3 года'!F10)</x:f>
        <x:v>1306777</x:v>
      </x:c>
      <x:c r="I7" s="34" t="n">
        <x:f>'EBITDA по источникам'!D9</x:f>
        <x:v>2917332</x:v>
      </x:c>
      <x:c r="J7" s="34" t="n">
        <x:f>'EBITDA по источникам'!E9</x:f>
        <x:v>2917332</x:v>
      </x:c>
      <x:c r="K7" s="34" t="str">
        <x:f>'EBITDA по источникам'!F9</x:f>
        <x:v>н.д.</x:v>
      </x:c>
      <x:c r="L7" s="34" t="str">
        <x:f>'EBITDA по источникам'!G9</x:f>
        <x:v>н.д.</x:v>
      </x:c>
      <x:c r="M7" s="34" t="str">
        <x:f>'EBITDA по источникам'!H9</x:f>
        <x:v>н.д.</x:v>
      </x:c>
      <x:c r="N7" s="34" t="str">
        <x:f>'EBITDA по источникам'!I9</x:f>
        <x:v>н.д.</x:v>
      </x:c>
      <x:c r="O7" s="34" t="str">
        <x:f>'EBITDA по источникам'!J9</x:f>
        <x:v>н.п.</x:v>
      </x:c>
      <x:c r="P7" s="34" t="str">
        <x:f>'EBITDA по источникам'!K9</x:f>
        <x:v>н.п.</x:v>
      </x:c>
      <x:c r="Q7" s="34" t="str">
        <x:f>'EBITDA по источникам'!L9</x:f>
        <x:v>н.п.</x:v>
      </x:c>
      <x:c r="R7" s="34" t="str">
        <x:f>'EBITDA по источникам'!M9</x:f>
        <x:v>н.п.</x:v>
      </x:c>
      <x:c r="S7" s="34" t="str">
        <x:f>'EBITDA по источникам'!N9</x:f>
        <x:v>н.п.</x:v>
      </x:c>
      <x:c r="T7" s="34" t="str">
        <x:f>'EBITDA по источникам'!O9</x:f>
        <x:v>н.п.</x:v>
      </x:c>
      <x:c r="U7" s="34" t="str">
        <x:f>'EBITDA по источникам'!P9</x:f>
        <x:v>н.п.</x:v>
      </x:c>
      <x:c r="V7" s="34" t="str">
        <x:f>'EBITDA по источникам'!Q9</x:f>
        <x:v>н.п.</x:v>
      </x:c>
      <x:c r="W7" s="34" t="str">
        <x:f>'EBITDA по источникам'!R9</x:f>
        <x:v>н.п.</x:v>
      </x:c>
      <x:c r="X7" s="34" t="n">
        <x:f>IF('Финансы 3 года'!S10="","н.д.",'Финансы 3 года'!S10)</x:f>
        <x:v>6104462</x:v>
      </x:c>
      <x:c r="Y7" s="34"/>
      <x:c r="Z7" s="34"/>
      <x:c r="AA7" s="35" t="str">
        <x:f>'Финансы 3 года'!T10</x:f>
        <x:v>МСФО_Газпром_2025.pdf</x:v>
      </x:c>
      <x:c r="AB7" s="35" t="str">
        <x:f>'Финансы 3 года'!U10</x:f>
        <x:v>10</x:v>
      </x:c>
    </x:row>
    <x:row r="8">
      <x:c r="A8" s="13" t="n">
        <x:v>3</x:v>
      </x:c>
      <x:c r="B8" s="13" t="str">
        <x:v>ЯНДЕКС</x:v>
      </x:c>
      <x:c r="C8" s="13" t="str">
        <x:v>YDEX</x:v>
      </x:c>
      <x:c r="D8" s="13" t="str">
        <x:v>IT / интернет</x:v>
      </x:c>
      <x:c r="E8" s="13" t="str">
        <x:v>Есть МСФО</x:v>
      </x:c>
      <x:c r="F8" s="13" t="str">
        <x:v>RUB</x:v>
      </x:c>
      <x:c r="G8" s="34" t="n">
        <x:f>IF('Финансы 3 года'!E13="","н.д.",'Финансы 3 года'!E13)</x:f>
        <x:v>1441098</x:v>
      </x:c>
      <x:c r="H8" s="34" t="n">
        <x:f>IF('Финансы 3 года'!F13="","н.д.",'Финансы 3 года'!F13)</x:f>
        <x:v>79579</x:v>
      </x:c>
      <x:c r="I8" s="34" t="str">
        <x:f>'EBITDA по источникам'!D11</x:f>
        <x:v>н.д.</x:v>
      </x:c>
      <x:c r="J8" s="34" t="str">
        <x:f>'EBITDA по источникам'!E11</x:f>
        <x:v>н.д.</x:v>
      </x:c>
      <x:c r="K8" s="34" t="str">
        <x:f>'EBITDA по источникам'!F11</x:f>
        <x:v>н.д.</x:v>
      </x:c>
      <x:c r="L8" s="34" t="n">
        <x:f>'EBITDA по источникам'!G11</x:f>
        <x:v>280834</x:v>
      </x:c>
      <x:c r="M8" s="34" t="n">
        <x:f>'EBITDA по источникам'!H11</x:f>
        <x:v>280834</x:v>
      </x:c>
      <x:c r="N8" s="34" t="n">
        <x:f>'EBITDA по источникам'!I11</x:f>
        <x:v>280834</x:v>
      </x:c>
      <x:c r="O8" s="34" t="str">
        <x:f>'EBITDA по источникам'!J11</x:f>
        <x:v>н.п.</x:v>
      </x:c>
      <x:c r="P8" s="34" t="str">
        <x:f>'EBITDA по источникам'!K11</x:f>
        <x:v>н.п.</x:v>
      </x:c>
      <x:c r="Q8" s="34" t="str">
        <x:f>'EBITDA по источникам'!L11</x:f>
        <x:v>н.п.</x:v>
      </x:c>
      <x:c r="R8" s="34" t="str">
        <x:f>'EBITDA по источникам'!M11</x:f>
        <x:v>н.д.</x:v>
      </x:c>
      <x:c r="S8" s="34" t="str">
        <x:f>'EBITDA по источникам'!N11</x:f>
        <x:v>н.д.</x:v>
      </x:c>
      <x:c r="T8" s="34" t="str">
        <x:f>'EBITDA по источникам'!O11</x:f>
        <x:v>н.д.</x:v>
      </x:c>
      <x:c r="U8" s="34" t="str">
        <x:f>'EBITDA по источникам'!P11</x:f>
        <x:v>н.п.</x:v>
      </x:c>
      <x:c r="V8" s="34" t="str">
        <x:f>'EBITDA по источникам'!Q11</x:f>
        <x:v>н.п.</x:v>
      </x:c>
      <x:c r="W8" s="34" t="str">
        <x:f>'EBITDA по источникам'!R11</x:f>
        <x:v>н.п.</x:v>
      </x:c>
      <x:c r="X8" s="34" t="n">
        <x:f>IF('Финансы 3 года'!S13="","н.д.",'Финансы 3 года'!S13)</x:f>
        <x:v>47705</x:v>
      </x:c>
      <x:c r="Y8" s="34"/>
      <x:c r="Z8" s="34"/>
      <x:c r="AA8" s="35" t="str">
        <x:f>'Финансы 3 года'!T13</x:f>
        <x:v>МСФО_Яндекс_2025.pdf</x:v>
      </x:c>
      <x:c r="AB8" s="35" t="str">
        <x:f>'Финансы 3 года'!U13</x:f>
        <x:v>8, 9</x:v>
      </x:c>
    </x:row>
    <x:row r="9">
      <x:c r="A9" s="13" t="n">
        <x:v>4</x:v>
      </x:c>
      <x:c r="B9" s="13" t="str">
        <x:v>Т-Технологии</x:v>
      </x:c>
      <x:c r="C9" s="13" t="str">
        <x:v>T</x:v>
      </x:c>
      <x:c r="D9" s="13" t="str">
        <x:v>Финансовые технологии</x:v>
      </x:c>
      <x:c r="E9" s="13" t="str">
        <x:v>Есть МСФО</x:v>
      </x:c>
      <x:c r="F9" s="13" t="str">
        <x:v>RUB</x:v>
      </x:c>
      <x:c r="G9" s="34" t="n">
        <x:f>IF('Финансы 3 года'!E16="","н.д.",'Финансы 3 года'!E16)</x:f>
        <x:v>1434494</x:v>
      </x:c>
      <x:c r="H9" s="34" t="n">
        <x:f>IF('Финансы 3 года'!F16="","н.д.",'Финансы 3 года'!F16)</x:f>
        <x:v>192414</x:v>
      </x:c>
      <x:c r="I9" s="34" t="str">
        <x:f>'EBITDA по источникам'!D13</x:f>
        <x:v>н.д.</x:v>
      </x:c>
      <x:c r="J9" s="34" t="str">
        <x:f>'EBITDA по источникам'!E13</x:f>
        <x:v>н.д.</x:v>
      </x:c>
      <x:c r="K9" s="34" t="str">
        <x:f>'EBITDA по источникам'!F13</x:f>
        <x:v>н.д.</x:v>
      </x:c>
      <x:c r="L9" s="34" t="str">
        <x:f>'EBITDA по источникам'!G13</x:f>
        <x:v>н.д.</x:v>
      </x:c>
      <x:c r="M9" s="34" t="str">
        <x:f>'EBITDA по источникам'!H13</x:f>
        <x:v>н.д.</x:v>
      </x:c>
      <x:c r="N9" s="34" t="str">
        <x:f>'EBITDA по источникам'!I13</x:f>
        <x:v>н.д.</x:v>
      </x:c>
      <x:c r="O9" s="34" t="str">
        <x:f>'EBITDA по источникам'!J13</x:f>
        <x:v>н.п.</x:v>
      </x:c>
      <x:c r="P9" s="34" t="str">
        <x:f>'EBITDA по источникам'!K13</x:f>
        <x:v>н.п.</x:v>
      </x:c>
      <x:c r="Q9" s="34" t="str">
        <x:f>'EBITDA по источникам'!L13</x:f>
        <x:v>н.п.</x:v>
      </x:c>
      <x:c r="R9" s="34" t="str">
        <x:f>'EBITDA по источникам'!M13</x:f>
        <x:v>н.д.</x:v>
      </x:c>
      <x:c r="S9" s="34" t="str">
        <x:f>'EBITDA по источникам'!N13</x:f>
        <x:v>н.д.</x:v>
      </x:c>
      <x:c r="T9" s="34" t="str">
        <x:f>'EBITDA по источникам'!O13</x:f>
        <x:v>н.д.</x:v>
      </x:c>
      <x:c r="U9" s="34" t="str">
        <x:f>'EBITDA по источникам'!P13</x:f>
        <x:v>н.д.</x:v>
      </x:c>
      <x:c r="V9" s="34" t="n">
        <x:f>'EBITDA по источникам'!Q13</x:f>
        <x:v>295253</x:v>
      </x:c>
      <x:c r="W9" s="34" t="str">
        <x:f>'EBITDA по источникам'!R13</x:f>
        <x:v>н.д.</x:v>
      </x:c>
      <x:c r="X9" s="34" t="n">
        <x:f>IF('Финансы 3 года'!S16="","н.д.",'Финансы 3 года'!S16)</x:f>
        <x:v>-817789</x:v>
      </x:c>
      <x:c r="Y9" s="34"/>
      <x:c r="Z9" s="34"/>
      <x:c r="AA9" s="35" t="str">
        <x:f>'Финансы 3 года'!T16</x:f>
        <x:v>Т-Технологии_МСФО_2025.pdf</x:v>
      </x:c>
      <x:c r="AB9" s="35" t="str">
        <x:f>'Финансы 3 года'!U16</x:f>
        <x:v>9, 10</x:v>
      </x:c>
    </x:row>
    <x:row r="10">
      <x:c r="A10" s="13" t="n">
        <x:v>5</x:v>
      </x:c>
      <x:c r="B10" s="13" t="str">
        <x:v>Татнефть</x:v>
      </x:c>
      <x:c r="C10" s="13" t="str">
        <x:v>TATN</x:v>
      </x:c>
      <x:c r="D10" s="13" t="str">
        <x:v>Нефть и газ</x:v>
      </x:c>
      <x:c r="E10" s="13" t="str">
        <x:v>Есть МСФО</x:v>
      </x:c>
      <x:c r="F10" s="13" t="str">
        <x:v>RUB</x:v>
      </x:c>
      <x:c r="G10" s="34" t="n">
        <x:f>IF('Финансы 3 года'!E19="","н.д.",'Финансы 3 года'!E19)</x:f>
        <x:v>1818134</x:v>
      </x:c>
      <x:c r="H10" s="34" t="n">
        <x:f>IF('Финансы 3 года'!F19="","н.д.",'Финансы 3 года'!F19)</x:f>
        <x:v>158623</x:v>
      </x:c>
      <x:c r="I10" s="34" t="str">
        <x:f>'EBITDA по источникам'!D15</x:f>
        <x:v>н.д.</x:v>
      </x:c>
      <x:c r="J10" s="34" t="n">
        <x:f>'EBITDA по источникам'!E15</x:f>
        <x:v>332877</x:v>
      </x:c>
      <x:c r="K10" s="34" t="str">
        <x:f>'EBITDA по источникам'!F15</x:f>
        <x:v>н.д.</x:v>
      </x:c>
      <x:c r="L10" s="34" t="str">
        <x:f>'EBITDA по источникам'!G15</x:f>
        <x:v>н.д.</x:v>
      </x:c>
      <x:c r="M10" s="34" t="str">
        <x:f>'EBITDA по источникам'!H15</x:f>
        <x:v>н.д.</x:v>
      </x:c>
      <x:c r="N10" s="34" t="str">
        <x:f>'EBITDA по источникам'!I15</x:f>
        <x:v>н.д.</x:v>
      </x:c>
      <x:c r="O10" s="34" t="str">
        <x:f>'EBITDA по источникам'!J15</x:f>
        <x:v>н.п.</x:v>
      </x:c>
      <x:c r="P10" s="34" t="str">
        <x:f>'EBITDA по источникам'!K15</x:f>
        <x:v>н.п.</x:v>
      </x:c>
      <x:c r="Q10" s="34" t="str">
        <x:f>'EBITDA по источникам'!L15</x:f>
        <x:v>н.п.</x:v>
      </x:c>
      <x:c r="R10" s="34" t="str">
        <x:f>'EBITDA по источникам'!M15</x:f>
        <x:v>н.п.</x:v>
      </x:c>
      <x:c r="S10" s="34" t="str">
        <x:f>'EBITDA по источникам'!N15</x:f>
        <x:v>н.п.</x:v>
      </x:c>
      <x:c r="T10" s="34" t="str">
        <x:f>'EBITDA по источникам'!O15</x:f>
        <x:v>н.п.</x:v>
      </x:c>
      <x:c r="U10" s="34" t="str">
        <x:f>'EBITDA по источникам'!P15</x:f>
        <x:v>н.п.</x:v>
      </x:c>
      <x:c r="V10" s="34" t="str">
        <x:f>'EBITDA по источникам'!Q15</x:f>
        <x:v>н.п.</x:v>
      </x:c>
      <x:c r="W10" s="34" t="str">
        <x:f>'EBITDA по источникам'!R15</x:f>
        <x:v>н.п.</x:v>
      </x:c>
      <x:c r="X10" s="34" t="n">
        <x:f>IF('Финансы 3 года'!S19="","н.д.",'Финансы 3 года'!S19)</x:f>
        <x:v>-31993</x:v>
      </x:c>
      <x:c r="Y10" s="34"/>
      <x:c r="Z10" s="34"/>
      <x:c r="AA10" s="35" t="str">
        <x:f>'Финансы 3 года'!T19</x:f>
        <x:v>Татнефть_МСФО_2025.pdf</x:v>
      </x:c>
      <x:c r="AB10" s="35" t="str">
        <x:f>'Финансы 3 года'!U19</x:f>
        <x:v>8, 9</x:v>
      </x:c>
    </x:row>
    <x:row r="11">
      <x:c r="A11" s="13" t="n">
        <x:v>6</x:v>
      </x:c>
      <x:c r="B11" s="13" t="str">
        <x:v>Новатэк</x:v>
      </x:c>
      <x:c r="C11" s="13" t="str">
        <x:v>NVTK</x:v>
      </x:c>
      <x:c r="D11" s="13" t="str">
        <x:v>Нефть и газ</x:v>
      </x:c>
      <x:c r="E11" s="13" t="str">
        <x:v>Есть МСФО</x:v>
      </x:c>
      <x:c r="F11" s="13" t="str">
        <x:v>RUB</x:v>
      </x:c>
      <x:c r="G11" s="34" t="n">
        <x:f>IF('Финансы 3 года'!E22="","н.д.",'Финансы 3 года'!E22)</x:f>
        <x:v>1445593</x:v>
      </x:c>
      <x:c r="H11" s="34" t="n">
        <x:f>IF('Финансы 3 года'!F22="","н.д.",'Финансы 3 года'!F22)</x:f>
        <x:v>183027</x:v>
      </x:c>
      <x:c r="I11" s="34" t="str">
        <x:f>'EBITDA по источникам'!D17</x:f>
        <x:v>н.д.</x:v>
      </x:c>
      <x:c r="J11" s="34" t="str">
        <x:f>'EBITDA по источникам'!E17</x:f>
        <x:v>н.д.</x:v>
      </x:c>
      <x:c r="K11" s="34" t="str">
        <x:f>'EBITDA по источникам'!F17</x:f>
        <x:v>н.д.</x:v>
      </x:c>
      <x:c r="L11" s="34" t="str">
        <x:f>'EBITDA по источникам'!G17</x:f>
        <x:v>н.д.</x:v>
      </x:c>
      <x:c r="M11" s="34" t="n">
        <x:f>'EBITDA по источникам'!H17</x:f>
        <x:v>859306</x:v>
      </x:c>
      <x:c r="N11" s="34" t="str">
        <x:f>'EBITDA по источникам'!I17</x:f>
        <x:v>н.д.</x:v>
      </x:c>
      <x:c r="O11" s="34" t="str">
        <x:f>'EBITDA по источникам'!J17</x:f>
        <x:v>н.п.</x:v>
      </x:c>
      <x:c r="P11" s="34" t="str">
        <x:f>'EBITDA по источникам'!K17</x:f>
        <x:v>н.п.</x:v>
      </x:c>
      <x:c r="Q11" s="34" t="str">
        <x:f>'EBITDA по источникам'!L17</x:f>
        <x:v>н.п.</x:v>
      </x:c>
      <x:c r="R11" s="34" t="str">
        <x:f>'EBITDA по источникам'!M17</x:f>
        <x:v>н.п.</x:v>
      </x:c>
      <x:c r="S11" s="34" t="str">
        <x:f>'EBITDA по источникам'!N17</x:f>
        <x:v>н.п.</x:v>
      </x:c>
      <x:c r="T11" s="34" t="str">
        <x:f>'EBITDA по источникам'!O17</x:f>
        <x:v>н.п.</x:v>
      </x:c>
      <x:c r="U11" s="34" t="str">
        <x:f>'EBITDA по источникам'!P17</x:f>
        <x:v>н.п.</x:v>
      </x:c>
      <x:c r="V11" s="34" t="str">
        <x:f>'EBITDA по источникам'!Q17</x:f>
        <x:v>н.п.</x:v>
      </x:c>
      <x:c r="W11" s="34" t="str">
        <x:f>'EBITDA по источникам'!R17</x:f>
        <x:v>н.п.</x:v>
      </x:c>
      <x:c r="X11" s="34" t="n">
        <x:f>IF('Финансы 3 года'!S22="","н.д.",'Финансы 3 года'!S22)</x:f>
        <x:v>-39270</x:v>
      </x:c>
      <x:c r="Y11" s="34"/>
      <x:c r="Z11" s="34"/>
      <x:c r="AA11" s="35" t="str">
        <x:f>'Финансы 3 года'!T22</x:f>
        <x:v>Novatek FS 12m2025 RUS (disclosable).pdf</x:v>
      </x:c>
      <x:c r="AB11" s="35" t="str">
        <x:f>'Финансы 3 года'!U22</x:f>
        <x:v>8, 9</x:v>
      </x:c>
    </x:row>
    <x:row r="12">
      <x:c r="A12" s="17" t="n">
        <x:v>7</x:v>
      </x:c>
      <x:c r="B12" s="17" t="str">
        <x:v>Норникель</x:v>
      </x:c>
      <x:c r="C12" s="17" t="str">
        <x:v>GMKN</x:v>
      </x:c>
      <x:c r="D12" s="17" t="str">
        <x:v>Металлургия</x:v>
      </x:c>
      <x:c r="E12" s="17" t="str">
        <x:v>Есть МСФО</x:v>
      </x:c>
      <x:c r="F12" s="17" t="str">
        <x:v>USD</x:v>
      </x:c>
      <x:c r="G12" s="36" t="n">
        <x:f>IF('Финансы 3 года'!E25="","н.д.",'Финансы 3 года'!E25)</x:f>
        <x:v>13763</x:v>
      </x:c>
      <x:c r="H12" s="36" t="n">
        <x:f>IF('Финансы 3 года'!F25="","н.д.",'Финансы 3 года'!F25)</x:f>
        <x:v>1947</x:v>
      </x:c>
      <x:c r="I12" s="36" t="n">
        <x:f>'EBITDA по источникам'!D19</x:f>
        <x:v>5668</x:v>
      </x:c>
      <x:c r="J12" s="36" t="n">
        <x:f>'EBITDA по источникам'!E19</x:f>
        <x:v>475066</x:v>
      </x:c>
      <x:c r="K12" s="36" t="str">
        <x:f>'EBITDA по источникам'!F19</x:f>
        <x:v>н.д.</x:v>
      </x:c>
      <x:c r="L12" s="36" t="str">
        <x:f>'EBITDA по источникам'!G19</x:f>
        <x:v>н.д.</x:v>
      </x:c>
      <x:c r="M12" s="36" t="str">
        <x:f>'EBITDA по источникам'!H19</x:f>
        <x:v>н.д.</x:v>
      </x:c>
      <x:c r="N12" s="36" t="str">
        <x:f>'EBITDA по источникам'!I19</x:f>
        <x:v>н.д.</x:v>
      </x:c>
      <x:c r="O12" s="36" t="str">
        <x:f>'EBITDA по источникам'!J19</x:f>
        <x:v>н.п.</x:v>
      </x:c>
      <x:c r="P12" s="36" t="str">
        <x:f>'EBITDA по источникам'!K19</x:f>
        <x:v>н.п.</x:v>
      </x:c>
      <x:c r="Q12" s="36" t="str">
        <x:f>'EBITDA по источникам'!L19</x:f>
        <x:v>н.п.</x:v>
      </x:c>
      <x:c r="R12" s="36" t="str">
        <x:f>'EBITDA по источникам'!M19</x:f>
        <x:v>н.п.</x:v>
      </x:c>
      <x:c r="S12" s="36" t="str">
        <x:f>'EBITDA по источникам'!N19</x:f>
        <x:v>н.п.</x:v>
      </x:c>
      <x:c r="T12" s="36" t="str">
        <x:f>'EBITDA по источникам'!O19</x:f>
        <x:v>н.п.</x:v>
      </x:c>
      <x:c r="U12" s="36" t="str">
        <x:f>'EBITDA по источникам'!P19</x:f>
        <x:v>н.п.</x:v>
      </x:c>
      <x:c r="V12" s="36" t="str">
        <x:f>'EBITDA по источникам'!Q19</x:f>
        <x:v>н.п.</x:v>
      </x:c>
      <x:c r="W12" s="36" t="str">
        <x:f>'EBITDA по источникам'!R19</x:f>
        <x:v>н.п.</x:v>
      </x:c>
      <x:c r="X12" s="36" t="str">
        <x:f>IF('Финансы 3 года'!S25="","н.д.",'Финансы 3 года'!S25)</x:f>
        <x:v>н.д.</x:v>
      </x:c>
      <x:c r="Y12" s="36"/>
      <x:c r="Z12" s="36"/>
      <x:c r="AA12" s="37" t="str">
        <x:f>'Финансы 3 года'!T25</x:f>
        <x:v>Норникель_МСФО_2025.pdf</x:v>
      </x:c>
      <x:c r="AB12" s="37" t="str">
        <x:f>'Финансы 3 года'!U25</x:f>
        <x:v>6</x:v>
      </x:c>
    </x:row>
    <x:row r="13">
      <x:c r="A13" s="13" t="n">
        <x:v>8</x:v>
      </x:c>
      <x:c r="B13" s="13" t="str">
        <x:v>Озон</x:v>
      </x:c>
      <x:c r="C13" s="13" t="str">
        <x:v>OZON</x:v>
      </x:c>
      <x:c r="D13" s="13" t="str">
        <x:v>E-commerce / финтех</x:v>
      </x:c>
      <x:c r="E13" s="13" t="str">
        <x:v>Есть МСФО</x:v>
      </x:c>
      <x:c r="F13" s="13" t="str">
        <x:v>RUB</x:v>
      </x:c>
      <x:c r="G13" s="34" t="n">
        <x:f>IF('Финансы 3 года'!E28="","н.д.",'Финансы 3 года'!E28)</x:f>
        <x:v>997989</x:v>
      </x:c>
      <x:c r="H13" s="34" t="n">
        <x:f>IF('Финансы 3 года'!F28="","н.д.",'Финансы 3 года'!F28)</x:f>
        <x:v>-938</x:v>
      </x:c>
      <x:c r="I13" s="34" t="str">
        <x:f>'EBITDA по источникам'!D21</x:f>
        <x:v>н.д.</x:v>
      </x:c>
      <x:c r="J13" s="34" t="str">
        <x:f>'EBITDA по источникам'!E21</x:f>
        <x:v>н.д.</x:v>
      </x:c>
      <x:c r="K13" s="34" t="str">
        <x:f>'EBITDA по источникам'!F21</x:f>
        <x:v>н.д.</x:v>
      </x:c>
      <x:c r="L13" s="34" t="n">
        <x:f>'EBITDA по источникам'!G21</x:f>
        <x:v>156381</x:v>
      </x:c>
      <x:c r="M13" s="34" t="n">
        <x:f>'EBITDA по источникам'!H21</x:f>
        <x:v>156381</x:v>
      </x:c>
      <x:c r="N13" s="34" t="str">
        <x:f>'EBITDA по источникам'!I21</x:f>
        <x:v>н.д.</x:v>
      </x:c>
      <x:c r="O13" s="34" t="str">
        <x:f>'EBITDA по источникам'!J21</x:f>
        <x:v>н.п.</x:v>
      </x:c>
      <x:c r="P13" s="34" t="str">
        <x:f>'EBITDA по источникам'!K21</x:f>
        <x:v>н.п.</x:v>
      </x:c>
      <x:c r="Q13" s="34" t="str">
        <x:f>'EBITDA по источникам'!L21</x:f>
        <x:v>н.п.</x:v>
      </x:c>
      <x:c r="R13" s="34" t="str">
        <x:f>'EBITDA по источникам'!M21</x:f>
        <x:v>н.д.</x:v>
      </x:c>
      <x:c r="S13" s="34" t="str">
        <x:f>'EBITDA по источникам'!N21</x:f>
        <x:v>н.д.</x:v>
      </x:c>
      <x:c r="T13" s="34" t="str">
        <x:f>'EBITDA по источникам'!O21</x:f>
        <x:v>н.д.</x:v>
      </x:c>
      <x:c r="U13" s="34" t="str">
        <x:f>'EBITDA по источникам'!P21</x:f>
        <x:v>н.п.</x:v>
      </x:c>
      <x:c r="V13" s="34" t="str">
        <x:f>'EBITDA по источникам'!Q21</x:f>
        <x:v>н.п.</x:v>
      </x:c>
      <x:c r="W13" s="34" t="str">
        <x:f>'EBITDA по источникам'!R21</x:f>
        <x:v>н.п.</x:v>
      </x:c>
      <x:c r="X13" s="34" t="n">
        <x:f>IF('Финансы 3 года'!S28="","н.д.",'Финансы 3 года'!S28)</x:f>
        <x:v>-135937</x:v>
      </x:c>
      <x:c r="Y13" s="34"/>
      <x:c r="Z13" s="34"/>
      <x:c r="AA13" s="35" t="str">
        <x:f>'Финансы 3 года'!T28</x:f>
        <x:v>Озон_МСФО_2025.pdf</x:v>
      </x:c>
      <x:c r="AB13" s="35" t="str">
        <x:f>'Финансы 3 года'!U28</x:f>
        <x:v>7</x:v>
      </x:c>
    </x:row>
    <x:row r="14">
      <x:c r="A14" s="13" t="n">
        <x:v>9</x:v>
      </x:c>
      <x:c r="B14" s="13" t="str">
        <x:v>X5</x:v>
      </x:c>
      <x:c r="C14" s="13" t="str">
        <x:v>X5</x:v>
      </x:c>
      <x:c r="D14" s="13" t="str">
        <x:v>Ритейл</x:v>
      </x:c>
      <x:c r="E14" s="13" t="str">
        <x:v>Есть МСФО</x:v>
      </x:c>
      <x:c r="F14" s="13" t="str">
        <x:v>RUB</x:v>
      </x:c>
      <x:c r="G14" s="34" t="n">
        <x:f>IF('Финансы 3 года'!E31="","н.д.",'Финансы 3 года'!E31)</x:f>
        <x:v>4642034</x:v>
      </x:c>
      <x:c r="H14" s="34" t="n">
        <x:f>IF('Финансы 3 года'!F31="","н.д.",'Финансы 3 года'!F31)</x:f>
        <x:v>83139</x:v>
      </x:c>
      <x:c r="I14" s="34" t="str">
        <x:f>'EBITDA по источникам'!D23</x:f>
        <x:v>н.д.</x:v>
      </x:c>
      <x:c r="J14" s="34" t="str">
        <x:f>'EBITDA по источникам'!E23</x:f>
        <x:v>н.д.</x:v>
      </x:c>
      <x:c r="K14" s="34" t="str">
        <x:f>'EBITDA по источникам'!F23</x:f>
        <x:v>н.д.</x:v>
      </x:c>
      <x:c r="L14" s="34" t="str">
        <x:f>'EBITDA по источникам'!G23</x:f>
        <x:v>н.д.</x:v>
      </x:c>
      <x:c r="M14" s="34" t="str">
        <x:f>'EBITDA по источникам'!H23</x:f>
        <x:v>н.д.</x:v>
      </x:c>
      <x:c r="N14" s="34" t="str">
        <x:f>'EBITDA по источникам'!I23</x:f>
        <x:v>н.д.</x:v>
      </x:c>
      <x:c r="O14" s="34" t="str">
        <x:f>'EBITDA по источникам'!J23</x:f>
        <x:v>н.д.</x:v>
      </x:c>
      <x:c r="P14" s="34" t="n">
        <x:f>'EBITDA по источникам'!K23</x:f>
        <x:v>440676</x:v>
      </x:c>
      <x:c r="Q14" s="34" t="str">
        <x:f>'EBITDA по источникам'!L23</x:f>
        <x:v>н.д.</x:v>
      </x:c>
      <x:c r="R14" s="34" t="str">
        <x:f>'EBITDA по источникам'!M23</x:f>
        <x:v>н.п.</x:v>
      </x:c>
      <x:c r="S14" s="34" t="str">
        <x:f>'EBITDA по источникам'!N23</x:f>
        <x:v>н.п.</x:v>
      </x:c>
      <x:c r="T14" s="34" t="str">
        <x:f>'EBITDA по источникам'!O23</x:f>
        <x:v>н.п.</x:v>
      </x:c>
      <x:c r="U14" s="34" t="str">
        <x:f>'EBITDA по источникам'!P23</x:f>
        <x:v>н.п.</x:v>
      </x:c>
      <x:c r="V14" s="34" t="str">
        <x:f>'EBITDA по источникам'!Q23</x:f>
        <x:v>н.п.</x:v>
      </x:c>
      <x:c r="W14" s="34" t="str">
        <x:f>'EBITDA по источникам'!R23</x:f>
        <x:v>н.п.</x:v>
      </x:c>
      <x:c r="X14" s="34" t="n">
        <x:f>IF('Финансы 3 года'!S31="","н.д.",'Финансы 3 года'!S31)</x:f>
        <x:v>938745</x:v>
      </x:c>
      <x:c r="Y14" s="34"/>
      <x:c r="Z14" s="34"/>
      <x:c r="AA14" s="35" t="str">
        <x:f>'Финансы 3 года'!T31</x:f>
        <x:v>КЦ_Икс_5_МСФО_2025.pdf</x:v>
      </x:c>
      <x:c r="AB14" s="35" t="str">
        <x:f>'Финансы 3 года'!U31</x:f>
        <x:v>10</x:v>
      </x:c>
    </x:row>
    <x:row r="15">
      <x:c r="A15" s="13" t="n">
        <x:v>10</x:v>
      </x:c>
      <x:c r="B15" s="13" t="str">
        <x:v>Роснефть</x:v>
      </x:c>
      <x:c r="C15" s="13" t="str">
        <x:v>ROSN</x:v>
      </x:c>
      <x:c r="D15" s="13" t="str">
        <x:v>Нефть и газ</x:v>
      </x:c>
      <x:c r="E15" s="13" t="str">
        <x:v>Есть МСФО</x:v>
      </x:c>
      <x:c r="F15" s="13" t="str">
        <x:v>RUB</x:v>
      </x:c>
      <x:c r="G15" s="34" t="n">
        <x:f>IF('Финансы 3 года'!E34="","н.д.",'Финансы 3 года'!E34)</x:f>
        <x:v>8236000</x:v>
      </x:c>
      <x:c r="H15" s="34" t="n">
        <x:f>IF('Финансы 3 года'!F34="","н.д.",'Финансы 3 года'!F34)</x:f>
        <x:v>293000</x:v>
      </x:c>
      <x:c r="I15" s="34" t="str">
        <x:f>'EBITDA по источникам'!D25</x:f>
        <x:v>н.д.</x:v>
      </x:c>
      <x:c r="J15" s="34" t="n">
        <x:f>'EBITDA по источникам'!E25</x:f>
        <x:v>2173000</x:v>
      </x:c>
      <x:c r="K15" s="34" t="str">
        <x:f>'EBITDA по источникам'!F25</x:f>
        <x:v>н.д.</x:v>
      </x:c>
      <x:c r="L15" s="34" t="str">
        <x:f>'EBITDA по источникам'!G25</x:f>
        <x:v>н.д.</x:v>
      </x:c>
      <x:c r="M15" s="34" t="str">
        <x:f>'EBITDA по источникам'!H25</x:f>
        <x:v>н.д.</x:v>
      </x:c>
      <x:c r="N15" s="34" t="str">
        <x:f>'EBITDA по источникам'!I25</x:f>
        <x:v>н.д.</x:v>
      </x:c>
      <x:c r="O15" s="34" t="str">
        <x:f>'EBITDA по источникам'!J25</x:f>
        <x:v>н.п.</x:v>
      </x:c>
      <x:c r="P15" s="34" t="str">
        <x:f>'EBITDA по источникам'!K25</x:f>
        <x:v>н.п.</x:v>
      </x:c>
      <x:c r="Q15" s="34" t="str">
        <x:f>'EBITDA по источникам'!L25</x:f>
        <x:v>н.п.</x:v>
      </x:c>
      <x:c r="R15" s="34" t="str">
        <x:f>'EBITDA по источникам'!M25</x:f>
        <x:v>н.п.</x:v>
      </x:c>
      <x:c r="S15" s="34" t="str">
        <x:f>'EBITDA по источникам'!N25</x:f>
        <x:v>н.п.</x:v>
      </x:c>
      <x:c r="T15" s="34" t="str">
        <x:f>'EBITDA по источникам'!O25</x:f>
        <x:v>н.п.</x:v>
      </x:c>
      <x:c r="U15" s="34" t="str">
        <x:f>'EBITDA по источникам'!P25</x:f>
        <x:v>н.п.</x:v>
      </x:c>
      <x:c r="V15" s="34" t="str">
        <x:f>'EBITDA по источникам'!Q25</x:f>
        <x:v>н.п.</x:v>
      </x:c>
      <x:c r="W15" s="34" t="str">
        <x:f>'EBITDA по источникам'!R25</x:f>
        <x:v>н.п.</x:v>
      </x:c>
      <x:c r="X15" s="34" t="str">
        <x:f>IF('Финансы 3 года'!S34="","н.д.",'Финансы 3 года'!S34)</x:f>
        <x:v>н.д.</x:v>
      </x:c>
      <x:c r="Y15" s="34"/>
      <x:c r="Z15" s="34"/>
      <x:c r="AA15" s="35" t="str">
        <x:f>'Финансы 3 года'!T34</x:f>
        <x:v>Роснефть_МСФО_2025.pdf</x:v>
      </x:c>
      <x:c r="AB15" s="35" t="str">
        <x:f>'Финансы 3 года'!U34</x:f>
        <x:v>6</x:v>
      </x:c>
    </x:row>
    <x:row r="16">
      <x:c r="A16" s="13" t="n">
        <x:v>11</x:v>
      </x:c>
      <x:c r="B16" s="13" t="str">
        <x:v>Полюс</x:v>
      </x:c>
      <x:c r="C16" s="13" t="str">
        <x:v>PLZL</x:v>
      </x:c>
      <x:c r="D16" s="13" t="str">
        <x:v>Золотодобыча</x:v>
      </x:c>
      <x:c r="E16" s="13" t="str">
        <x:v>Есть МСФО</x:v>
      </x:c>
      <x:c r="F16" s="13" t="str">
        <x:v>RUB</x:v>
      </x:c>
      <x:c r="G16" s="34" t="n">
        <x:f>IF('Финансы 3 года'!E37="","н.д.",'Финансы 3 года'!E37)</x:f>
        <x:v>712773</x:v>
      </x:c>
      <x:c r="H16" s="34" t="n">
        <x:f>IF('Финансы 3 года'!F37="","н.д.",'Финансы 3 года'!F37)</x:f>
        <x:v>314142</x:v>
      </x:c>
      <x:c r="I16" s="34" t="n">
        <x:f>'EBITDA по источникам'!D27</x:f>
        <x:v>517793</x:v>
      </x:c>
      <x:c r="J16" s="34" t="n">
        <x:f>'EBITDA по источникам'!E27</x:f>
        <x:v>517793</x:v>
      </x:c>
      <x:c r="K16" s="34" t="str">
        <x:f>'EBITDA по источникам'!F27</x:f>
        <x:v>н.д.</x:v>
      </x:c>
      <x:c r="L16" s="34" t="str">
        <x:f>'EBITDA по источникам'!G27</x:f>
        <x:v>н.д.</x:v>
      </x:c>
      <x:c r="M16" s="34" t="str">
        <x:f>'EBITDA по источникам'!H27</x:f>
        <x:v>н.д.</x:v>
      </x:c>
      <x:c r="N16" s="34" t="str">
        <x:f>'EBITDA по источникам'!I27</x:f>
        <x:v>н.д.</x:v>
      </x:c>
      <x:c r="O16" s="34" t="str">
        <x:f>'EBITDA по источникам'!J27</x:f>
        <x:v>н.п.</x:v>
      </x:c>
      <x:c r="P16" s="34" t="str">
        <x:f>'EBITDA по источникам'!K27</x:f>
        <x:v>н.п.</x:v>
      </x:c>
      <x:c r="Q16" s="34" t="str">
        <x:f>'EBITDA по источникам'!L27</x:f>
        <x:v>н.п.</x:v>
      </x:c>
      <x:c r="R16" s="34" t="str">
        <x:f>'EBITDA по источникам'!M27</x:f>
        <x:v>н.п.</x:v>
      </x:c>
      <x:c r="S16" s="34" t="str">
        <x:f>'EBITDA по источникам'!N27</x:f>
        <x:v>н.п.</x:v>
      </x:c>
      <x:c r="T16" s="34" t="str">
        <x:f>'EBITDA по источникам'!O27</x:f>
        <x:v>н.п.</x:v>
      </x:c>
      <x:c r="U16" s="34" t="str">
        <x:f>'EBITDA по источникам'!P27</x:f>
        <x:v>н.п.</x:v>
      </x:c>
      <x:c r="V16" s="34" t="str">
        <x:f>'EBITDA по источникам'!Q27</x:f>
        <x:v>н.п.</x:v>
      </x:c>
      <x:c r="W16" s="34" t="str">
        <x:f>'EBITDA по источникам'!R27</x:f>
        <x:v>н.п.</x:v>
      </x:c>
      <x:c r="X16" s="34" t="n">
        <x:f>IF('Финансы 3 года'!S37="","н.д.",'Финансы 3 года'!S37)</x:f>
        <x:v>555322</x:v>
      </x:c>
      <x:c r="Y16" s="34"/>
      <x:c r="Z16" s="34"/>
      <x:c r="AA16" s="35" t="str">
        <x:f>'Финансы 3 года'!T37</x:f>
        <x:v>Полюс_МСФО_2025.pdf</x:v>
      </x:c>
      <x:c r="AB16" s="35" t="str">
        <x:f>'Финансы 3 года'!U37</x:f>
        <x:v>9, 10</x:v>
      </x:c>
    </x:row>
    <x:row r="17">
      <x:c r="A17" s="13" t="n">
        <x:v>12</x:v>
      </x:c>
      <x:c r="B17" s="13" t="str">
        <x:v>HeadHunter</x:v>
      </x:c>
      <x:c r="C17" s="13" t="str">
        <x:v>HEAD</x:v>
      </x:c>
      <x:c r="D17" s="13" t="str">
        <x:v>IT / интернет</x:v>
      </x:c>
      <x:c r="E17" s="13" t="str">
        <x:v>Есть МСФО</x:v>
      </x:c>
      <x:c r="F17" s="13" t="str">
        <x:v>RUB</x:v>
      </x:c>
      <x:c r="G17" s="34" t="n">
        <x:f>IF('Финансы 3 года'!E40="","н.д.",'Финансы 3 года'!E40)</x:f>
        <x:v>41203.402</x:v>
      </x:c>
      <x:c r="H17" s="34" t="n">
        <x:f>IF('Финансы 3 года'!F40="","н.д.",'Финансы 3 года'!F40)</x:f>
        <x:v>17989.497</x:v>
      </x:c>
      <x:c r="I17" s="34" t="str">
        <x:f>'EBITDA по источникам'!D29</x:f>
        <x:v>н.д.</x:v>
      </x:c>
      <x:c r="J17" s="34" t="str">
        <x:f>'EBITDA по источникам'!E29</x:f>
        <x:v>н.д.</x:v>
      </x:c>
      <x:c r="K17" s="34" t="str">
        <x:f>'EBITDA по источникам'!F29</x:f>
        <x:v>н.д.</x:v>
      </x:c>
      <x:c r="L17" s="34" t="n">
        <x:f>'EBITDA по источникам'!G29</x:f>
        <x:v>22761.895</x:v>
      </x:c>
      <x:c r="M17" s="34" t="n">
        <x:f>'EBITDA по источникам'!H29</x:f>
        <x:v>22761.895</x:v>
      </x:c>
      <x:c r="N17" s="34" t="str">
        <x:f>'EBITDA по источникам'!I29</x:f>
        <x:v>н.д.</x:v>
      </x:c>
      <x:c r="O17" s="34" t="str">
        <x:f>'EBITDA по источникам'!J29</x:f>
        <x:v>н.п.</x:v>
      </x:c>
      <x:c r="P17" s="34" t="str">
        <x:f>'EBITDA по источникам'!K29</x:f>
        <x:v>н.п.</x:v>
      </x:c>
      <x:c r="Q17" s="34" t="str">
        <x:f>'EBITDA по источникам'!L29</x:f>
        <x:v>н.п.</x:v>
      </x:c>
      <x:c r="R17" s="34" t="str">
        <x:f>'EBITDA по источникам'!M29</x:f>
        <x:v>н.д.</x:v>
      </x:c>
      <x:c r="S17" s="34" t="str">
        <x:f>'EBITDA по источникам'!N29</x:f>
        <x:v>н.д.</x:v>
      </x:c>
      <x:c r="T17" s="34" t="str">
        <x:f>'EBITDA по источникам'!O29</x:f>
        <x:v>н.д.</x:v>
      </x:c>
      <x:c r="U17" s="34" t="str">
        <x:f>'EBITDA по источникам'!P29</x:f>
        <x:v>н.п.</x:v>
      </x:c>
      <x:c r="V17" s="34" t="str">
        <x:f>'EBITDA по источникам'!Q29</x:f>
        <x:v>н.п.</x:v>
      </x:c>
      <x:c r="W17" s="34" t="str">
        <x:f>'EBITDA по источникам'!R29</x:f>
        <x:v>н.п.</x:v>
      </x:c>
      <x:c r="X17" s="34" t="n">
        <x:f>IF('Финансы 3 года'!S40="","н.д.",'Финансы 3 года'!S40)</x:f>
        <x:v>-14686.736</x:v>
      </x:c>
      <x:c r="Y17" s="34"/>
      <x:c r="Z17" s="34"/>
      <x:c r="AA17" s="35" t="str">
        <x:f>'Финансы 3 года'!T40</x:f>
        <x:v>ХХ_МСФО_2025.pdf</x:v>
      </x:c>
      <x:c r="AB17" s="35" t="str">
        <x:f>'Финансы 3 года'!U40</x:f>
        <x:v>9</x:v>
      </x:c>
    </x:row>
    <x:row r="18">
      <x:c r="A18" s="13" t="n">
        <x:v>13</x:v>
      </x:c>
      <x:c r="B18" s="13" t="str">
        <x:v>МТС</x:v>
      </x:c>
      <x:c r="C18" s="13" t="str">
        <x:v>MTSS</x:v>
      </x:c>
      <x:c r="D18" s="13" t="str">
        <x:v>Телеком</x:v>
      </x:c>
      <x:c r="E18" s="13" t="str">
        <x:v>Есть МСФО</x:v>
      </x:c>
      <x:c r="F18" s="13" t="str">
        <x:v>RUB</x:v>
      </x:c>
      <x:c r="G18" s="34" t="n">
        <x:f>IF('Финансы 3 года'!E43="","н.д.",'Финансы 3 года'!E43)</x:f>
        <x:v>807186</x:v>
      </x:c>
      <x:c r="H18" s="34" t="n">
        <x:f>IF('Финансы 3 года'!F43="","н.д.",'Финансы 3 года'!F43)</x:f>
        <x:v>35220</x:v>
      </x:c>
      <x:c r="I18" s="34" t="str">
        <x:f>'EBITDA по источникам'!D31</x:f>
        <x:v>н.д.</x:v>
      </x:c>
      <x:c r="J18" s="34" t="str">
        <x:f>'EBITDA по источникам'!E31</x:f>
        <x:v>н.д.</x:v>
      </x:c>
      <x:c r="K18" s="34" t="str">
        <x:f>'EBITDA по источникам'!F31</x:f>
        <x:v>н.д.</x:v>
      </x:c>
      <x:c r="L18" s="34" t="str">
        <x:f>'EBITDA по источникам'!G31</x:f>
        <x:v>н.д.</x:v>
      </x:c>
      <x:c r="M18" s="34" t="str">
        <x:f>'EBITDA по источникам'!H31</x:f>
        <x:v>н.д.</x:v>
      </x:c>
      <x:c r="N18" s="34" t="str">
        <x:f>'EBITDA по источникам'!I31</x:f>
        <x:v>н.д.</x:v>
      </x:c>
      <x:c r="O18" s="34" t="str">
        <x:f>'EBITDA по источникам'!J31</x:f>
        <x:v>н.п.</x:v>
      </x:c>
      <x:c r="P18" s="34" t="str">
        <x:f>'EBITDA по источникам'!K31</x:f>
        <x:v>н.п.</x:v>
      </x:c>
      <x:c r="Q18" s="34" t="str">
        <x:f>'EBITDA по источникам'!L31</x:f>
        <x:v>н.п.</x:v>
      </x:c>
      <x:c r="R18" s="34" t="str">
        <x:f>'EBITDA по источникам'!M31</x:f>
        <x:v>н.п.</x:v>
      </x:c>
      <x:c r="S18" s="34" t="str">
        <x:f>'EBITDA по источникам'!N31</x:f>
        <x:v>н.п.</x:v>
      </x:c>
      <x:c r="T18" s="34" t="str">
        <x:f>'EBITDA по источникам'!O31</x:f>
        <x:v>н.п.</x:v>
      </x:c>
      <x:c r="U18" s="34" t="n">
        <x:f>'EBITDA по источникам'!P31</x:f>
        <x:v>279695</x:v>
      </x:c>
      <x:c r="V18" s="34" t="str">
        <x:f>'EBITDA по источникам'!Q31</x:f>
        <x:v>н.д.</x:v>
      </x:c>
      <x:c r="W18" s="34" t="str">
        <x:f>'EBITDA по источникам'!R31</x:f>
        <x:v>н.д.</x:v>
      </x:c>
      <x:c r="X18" s="34" t="str">
        <x:f>IF('Финансы 3 года'!S43="","н.д.",'Финансы 3 года'!S43)</x:f>
        <x:v>н.д.</x:v>
      </x:c>
      <x:c r="Y18" s="34"/>
      <x:c r="Z18" s="34"/>
      <x:c r="AA18" s="35" t="str">
        <x:f>'Финансы 3 года'!T43</x:f>
        <x:v>МТС_МСФО_2025.pdf</x:v>
      </x:c>
      <x:c r="AB18" s="35" t="str">
        <x:f>'Финансы 3 года'!U43</x:f>
        <x:v>11</x:v>
      </x:c>
    </x:row>
    <x:row r="19">
      <x:c r="A19" s="13" t="n">
        <x:v>14</x:v>
      </x:c>
      <x:c r="B19" s="13" t="str">
        <x:v>Интер РАО</x:v>
      </x:c>
      <x:c r="C19" s="13" t="str">
        <x:v>IRAO</x:v>
      </x:c>
      <x:c r="D19" s="13" t="str">
        <x:v>Электроэнергетика</x:v>
      </x:c>
      <x:c r="E19" s="13" t="str">
        <x:v>Есть МСФО</x:v>
      </x:c>
      <x:c r="F19" s="13" t="str">
        <x:v>RUB</x:v>
      </x:c>
      <x:c r="G19" s="34" t="n">
        <x:f>IF('Финансы 3 года'!E46="","н.д.",'Финансы 3 года'!E46)</x:f>
        <x:v>1760626</x:v>
      </x:c>
      <x:c r="H19" s="34" t="n">
        <x:f>IF('Финансы 3 года'!F46="","н.д.",'Финансы 3 года'!F46)</x:f>
        <x:v>133834</x:v>
      </x:c>
      <x:c r="I19" s="34" t="n">
        <x:f>'EBITDA по источникам'!D33</x:f>
        <x:v>181544</x:v>
      </x:c>
      <x:c r="J19" s="34" t="n">
        <x:f>'EBITDA по источникам'!E33</x:f>
        <x:v>181544</x:v>
      </x:c>
      <x:c r="K19" s="34" t="str">
        <x:f>'EBITDA по источникам'!F33</x:f>
        <x:v>н.д.</x:v>
      </x:c>
      <x:c r="L19" s="34" t="str">
        <x:f>'EBITDA по источникам'!G33</x:f>
        <x:v>н.д.</x:v>
      </x:c>
      <x:c r="M19" s="34" t="str">
        <x:f>'EBITDA по источникам'!H33</x:f>
        <x:v>н.д.</x:v>
      </x:c>
      <x:c r="N19" s="34" t="str">
        <x:f>'EBITDA по источникам'!I33</x:f>
        <x:v>н.д.</x:v>
      </x:c>
      <x:c r="O19" s="34" t="str">
        <x:f>'EBITDA по источникам'!J33</x:f>
        <x:v>н.п.</x:v>
      </x:c>
      <x:c r="P19" s="34" t="str">
        <x:f>'EBITDA по источникам'!K33</x:f>
        <x:v>н.п.</x:v>
      </x:c>
      <x:c r="Q19" s="34" t="str">
        <x:f>'EBITDA по источникам'!L33</x:f>
        <x:v>н.п.</x:v>
      </x:c>
      <x:c r="R19" s="34" t="str">
        <x:f>'EBITDA по источникам'!M33</x:f>
        <x:v>н.п.</x:v>
      </x:c>
      <x:c r="S19" s="34" t="str">
        <x:f>'EBITDA по источникам'!N33</x:f>
        <x:v>н.п.</x:v>
      </x:c>
      <x:c r="T19" s="34" t="str">
        <x:f>'EBITDA по источникам'!O33</x:f>
        <x:v>н.п.</x:v>
      </x:c>
      <x:c r="U19" s="34" t="str">
        <x:f>'EBITDA по источникам'!P33</x:f>
        <x:v>н.п.</x:v>
      </x:c>
      <x:c r="V19" s="34" t="str">
        <x:f>'EBITDA по источникам'!Q33</x:f>
        <x:v>н.п.</x:v>
      </x:c>
      <x:c r="W19" s="34" t="str">
        <x:f>'EBITDA по источникам'!R33</x:f>
        <x:v>н.п.</x:v>
      </x:c>
      <x:c r="X19" s="34" t="n">
        <x:f>IF('Финансы 3 года'!S46="","н.д.",'Финансы 3 года'!S46)</x:f>
        <x:v>-348292</x:v>
      </x:c>
      <x:c r="Y19" s="34"/>
      <x:c r="Z19" s="34"/>
      <x:c r="AA19" s="35" t="str">
        <x:f>'Финансы 3 года'!T46</x:f>
        <x:v>Интер-Рао_МСФО_2025.pdf</x:v>
      </x:c>
      <x:c r="AB19" s="35" t="str">
        <x:f>'Финансы 3 года'!U46</x:f>
        <x:v>10</x:v>
      </x:c>
    </x:row>
    <x:row r="20">
      <x:c r="A20" s="13" t="n">
        <x:v>15</x:v>
      </x:c>
      <x:c r="B20" s="13" t="str">
        <x:v>Северсталь</x:v>
      </x:c>
      <x:c r="C20" s="13" t="str">
        <x:v>CHMF</x:v>
      </x:c>
      <x:c r="D20" s="13" t="str">
        <x:v>Металлургия</x:v>
      </x:c>
      <x:c r="E20" s="13" t="str">
        <x:v>Есть МСФО</x:v>
      </x:c>
      <x:c r="F20" s="13" t="str">
        <x:v>RUB</x:v>
      </x:c>
      <x:c r="G20" s="34" t="n">
        <x:f>IF('Финансы 3 года'!E49="","н.д.",'Финансы 3 года'!E49)</x:f>
        <x:v>712896</x:v>
      </x:c>
      <x:c r="H20" s="34" t="n">
        <x:f>IF('Финансы 3 года'!F49="","н.д.",'Финансы 3 года'!F49)</x:f>
        <x:v>31991</x:v>
      </x:c>
      <x:c r="I20" s="34" t="str">
        <x:f>'EBITDA по источникам'!D35</x:f>
        <x:v>н.д.</x:v>
      </x:c>
      <x:c r="J20" s="34" t="n">
        <x:f>'EBITDA по источникам'!E35</x:f>
        <x:v>137612</x:v>
      </x:c>
      <x:c r="K20" s="34" t="str">
        <x:f>'EBITDA по источникам'!F35</x:f>
        <x:v>н.д.</x:v>
      </x:c>
      <x:c r="L20" s="34" t="str">
        <x:f>'EBITDA по источникам'!G35</x:f>
        <x:v>н.д.</x:v>
      </x:c>
      <x:c r="M20" s="34" t="str">
        <x:f>'EBITDA по источникам'!H35</x:f>
        <x:v>н.д.</x:v>
      </x:c>
      <x:c r="N20" s="34" t="str">
        <x:f>'EBITDA по источникам'!I35</x:f>
        <x:v>н.д.</x:v>
      </x:c>
      <x:c r="O20" s="34" t="str">
        <x:f>'EBITDA по источникам'!J35</x:f>
        <x:v>н.п.</x:v>
      </x:c>
      <x:c r="P20" s="34" t="str">
        <x:f>'EBITDA по источникам'!K35</x:f>
        <x:v>н.п.</x:v>
      </x:c>
      <x:c r="Q20" s="34" t="str">
        <x:f>'EBITDA по источникам'!L35</x:f>
        <x:v>н.п.</x:v>
      </x:c>
      <x:c r="R20" s="34" t="str">
        <x:f>'EBITDA по источникам'!M35</x:f>
        <x:v>н.п.</x:v>
      </x:c>
      <x:c r="S20" s="34" t="str">
        <x:f>'EBITDA по источникам'!N35</x:f>
        <x:v>н.п.</x:v>
      </x:c>
      <x:c r="T20" s="34" t="str">
        <x:f>'EBITDA по источникам'!O35</x:f>
        <x:v>н.п.</x:v>
      </x:c>
      <x:c r="U20" s="34" t="str">
        <x:f>'EBITDA по источникам'!P35</x:f>
        <x:v>н.п.</x:v>
      </x:c>
      <x:c r="V20" s="34" t="str">
        <x:f>'EBITDA по источникам'!Q35</x:f>
        <x:v>н.п.</x:v>
      </x:c>
      <x:c r="W20" s="34" t="str">
        <x:f>'EBITDA по источникам'!R35</x:f>
        <x:v>н.п.</x:v>
      </x:c>
      <x:c r="X20" s="34" t="n">
        <x:f>IF('Финансы 3 года'!S49="","н.д.",'Финансы 3 года'!S49)</x:f>
        <x:v>21665</x:v>
      </x:c>
      <x:c r="Y20" s="34"/>
      <x:c r="Z20" s="34"/>
      <x:c r="AA20" s="35" t="str">
        <x:f>'Финансы 3 года'!T49</x:f>
        <x:v>Северсталь_МСФО_2025.pdf</x:v>
      </x:c>
      <x:c r="AB20" s="35" t="str">
        <x:f>'Финансы 3 года'!U49</x:f>
        <x:v>5, 6</x:v>
      </x:c>
    </x:row>
    <x:row r="21">
      <x:c r="A21" s="13" t="n">
        <x:v>16</x:v>
      </x:c>
      <x:c r="B21" s="13" t="str">
        <x:v>РУСАЛ</x:v>
      </x:c>
      <x:c r="C21" s="13" t="str">
        <x:v>RUAL</x:v>
      </x:c>
      <x:c r="D21" s="13" t="str">
        <x:v>Металлургия</x:v>
      </x:c>
      <x:c r="E21" s="13" t="str">
        <x:v>Есть МСФО</x:v>
      </x:c>
      <x:c r="F21" s="13" t="str">
        <x:v>USD</x:v>
      </x:c>
      <x:c r="G21" s="34" t="n">
        <x:f>IF('Финансы 3 года'!E52="","н.д.",'Финансы 3 года'!E52)</x:f>
        <x:v>14812</x:v>
      </x:c>
      <x:c r="H21" s="34" t="n">
        <x:f>IF('Финансы 3 года'!F52="","н.д.",'Финансы 3 года'!F52)</x:f>
        <x:v>-455</x:v>
      </x:c>
      <x:c r="I21" s="34" t="n">
        <x:f>'EBITDA по источникам'!D37</x:f>
        <x:v>1053</x:v>
      </x:c>
      <x:c r="J21" s="34" t="n">
        <x:f>'EBITDA по источникам'!E37</x:f>
        <x:v>1053</x:v>
      </x:c>
      <x:c r="K21" s="34" t="str">
        <x:f>'EBITDA по источникам'!F37</x:f>
        <x:v>н.д.</x:v>
      </x:c>
      <x:c r="L21" s="34" t="str">
        <x:f>'EBITDA по источникам'!G37</x:f>
        <x:v>н.д.</x:v>
      </x:c>
      <x:c r="M21" s="34" t="str">
        <x:f>'EBITDA по источникам'!H37</x:f>
        <x:v>н.д.</x:v>
      </x:c>
      <x:c r="N21" s="34" t="str">
        <x:f>'EBITDA по источникам'!I37</x:f>
        <x:v>н.д.</x:v>
      </x:c>
      <x:c r="O21" s="34" t="str">
        <x:f>'EBITDA по источникам'!J37</x:f>
        <x:v>н.п.</x:v>
      </x:c>
      <x:c r="P21" s="34" t="str">
        <x:f>'EBITDA по источникам'!K37</x:f>
        <x:v>н.п.</x:v>
      </x:c>
      <x:c r="Q21" s="34" t="str">
        <x:f>'EBITDA по источникам'!L37</x:f>
        <x:v>н.п.</x:v>
      </x:c>
      <x:c r="R21" s="34" t="str">
        <x:f>'EBITDA по источникам'!M37</x:f>
        <x:v>н.п.</x:v>
      </x:c>
      <x:c r="S21" s="34" t="str">
        <x:f>'EBITDA по источникам'!N37</x:f>
        <x:v>н.п.</x:v>
      </x:c>
      <x:c r="T21" s="34" t="str">
        <x:f>'EBITDA по источникам'!O37</x:f>
        <x:v>н.п.</x:v>
      </x:c>
      <x:c r="U21" s="34" t="str">
        <x:f>'EBITDA по источникам'!P37</x:f>
        <x:v>н.п.</x:v>
      </x:c>
      <x:c r="V21" s="34" t="str">
        <x:f>'EBITDA по источникам'!Q37</x:f>
        <x:v>н.п.</x:v>
      </x:c>
      <x:c r="W21" s="34" t="str">
        <x:f>'EBITDA по источникам'!R37</x:f>
        <x:v>н.п.</x:v>
      </x:c>
      <x:c r="X21" s="34" t="n">
        <x:f>IF('Финансы 3 года'!S52="","н.д.",'Финансы 3 года'!S52)</x:f>
        <x:v>8054</x:v>
      </x:c>
      <x:c r="Y21" s="34"/>
      <x:c r="Z21" s="34"/>
      <x:c r="AA21" s="35" t="str">
        <x:f>'Финансы 3 года'!T52</x:f>
        <x:v>Русал_МСФО_2025.pdf</x:v>
      </x:c>
      <x:c r="AB21" s="35" t="str">
        <x:f>'Финансы 3 года'!U52</x:f>
        <x:v>10, 11</x:v>
      </x:c>
    </x:row>
    <x:row r="22">
      <x:c r="A22" s="13" t="n">
        <x:v>17</x:v>
      </x:c>
      <x:c r="B22" s="13" t="str">
        <x:v>НЛМК</x:v>
      </x:c>
      <x:c r="C22" s="13" t="str">
        <x:v>NLMK</x:v>
      </x:c>
      <x:c r="D22" s="13" t="str">
        <x:v>Металлургия</x:v>
      </x:c>
      <x:c r="E22" s="13" t="str">
        <x:v>Есть МСФО</x:v>
      </x:c>
      <x:c r="F22" s="13" t="str">
        <x:v>RUB</x:v>
      </x:c>
      <x:c r="G22" s="34" t="n">
        <x:f>IF('Финансы 3 года'!E55="","н.д.",'Финансы 3 года'!E55)</x:f>
        <x:v>831351</x:v>
      </x:c>
      <x:c r="H22" s="34" t="n">
        <x:f>IF('Финансы 3 года'!F55="","н.д.",'Финансы 3 года'!F55)</x:f>
        <x:v>63149</x:v>
      </x:c>
      <x:c r="I22" s="34" t="str">
        <x:f>'EBITDA по источникам'!D39</x:f>
        <x:v>н.д.</x:v>
      </x:c>
      <x:c r="J22" s="34" t="n">
        <x:f>'EBITDA по источникам'!E39</x:f>
        <x:v>140500</x:v>
      </x:c>
      <x:c r="K22" s="34" t="str">
        <x:f>'EBITDA по источникам'!F39</x:f>
        <x:v>н.д.</x:v>
      </x:c>
      <x:c r="L22" s="34" t="str">
        <x:f>'EBITDA по источникам'!G39</x:f>
        <x:v>н.д.</x:v>
      </x:c>
      <x:c r="M22" s="34" t="str">
        <x:f>'EBITDA по источникам'!H39</x:f>
        <x:v>н.д.</x:v>
      </x:c>
      <x:c r="N22" s="34" t="str">
        <x:f>'EBITDA по источникам'!I39</x:f>
        <x:v>н.д.</x:v>
      </x:c>
      <x:c r="O22" s="34" t="str">
        <x:f>'EBITDA по источникам'!J39</x:f>
        <x:v>н.п.</x:v>
      </x:c>
      <x:c r="P22" s="34" t="str">
        <x:f>'EBITDA по источникам'!K39</x:f>
        <x:v>н.п.</x:v>
      </x:c>
      <x:c r="Q22" s="34" t="str">
        <x:f>'EBITDA по источникам'!L39</x:f>
        <x:v>н.п.</x:v>
      </x:c>
      <x:c r="R22" s="34" t="str">
        <x:f>'EBITDA по источникам'!M39</x:f>
        <x:v>н.п.</x:v>
      </x:c>
      <x:c r="S22" s="34" t="str">
        <x:f>'EBITDA по источникам'!N39</x:f>
        <x:v>н.п.</x:v>
      </x:c>
      <x:c r="T22" s="34" t="str">
        <x:f>'EBITDA по источникам'!O39</x:f>
        <x:v>н.п.</x:v>
      </x:c>
      <x:c r="U22" s="34" t="str">
        <x:f>'EBITDA по источникам'!P39</x:f>
        <x:v>н.п.</x:v>
      </x:c>
      <x:c r="V22" s="34" t="str">
        <x:f>'EBITDA по источникам'!Q39</x:f>
        <x:v>н.п.</x:v>
      </x:c>
      <x:c r="W22" s="34" t="str">
        <x:f>'EBITDA по источникам'!R39</x:f>
        <x:v>н.п.</x:v>
      </x:c>
      <x:c r="X22" s="34" t="n">
        <x:f>IF('Финансы 3 года'!S55="","н.д.",'Финансы 3 года'!S55)</x:f>
        <x:v>-45664</x:v>
      </x:c>
      <x:c r="Y22" s="34"/>
      <x:c r="Z22" s="34"/>
      <x:c r="AA22" s="35" t="str">
        <x:f>'Финансы 3 года'!T55</x:f>
        <x:v>НЛМК_МСФО_2025.pdf</x:v>
      </x:c>
      <x:c r="AB22" s="35" t="str">
        <x:f>'Финансы 3 года'!U55</x:f>
        <x:v>8, 9</x:v>
      </x:c>
    </x:row>
    <x:row r="23">
      <x:c r="A23" s="13" t="n">
        <x:v>18</x:v>
      </x:c>
      <x:c r="B23" s="13" t="str">
        <x:v>ФосАгро</x:v>
      </x:c>
      <x:c r="C23" s="13" t="str">
        <x:v>PHOR</x:v>
      </x:c>
      <x:c r="D23" s="13" t="str">
        <x:v>Удобрения</x:v>
      </x:c>
      <x:c r="E23" s="13" t="str">
        <x:v>Есть МСФО</x:v>
      </x:c>
      <x:c r="F23" s="13" t="str">
        <x:v>RUB</x:v>
      </x:c>
      <x:c r="G23" s="34" t="n">
        <x:f>IF('Финансы 3 года'!E58="","н.д.",'Финансы 3 года'!E58)</x:f>
        <x:v>573628</x:v>
      </x:c>
      <x:c r="H23" s="34" t="n">
        <x:f>IF('Финансы 3 года'!F58="","н.д.",'Финансы 3 года'!F58)</x:f>
        <x:v>114243</x:v>
      </x:c>
      <x:c r="I23" s="34" t="str">
        <x:f>'EBITDA по источникам'!D41</x:f>
        <x:v>н.д.</x:v>
      </x:c>
      <x:c r="J23" s="34" t="n">
        <x:f>'EBITDA по источникам'!E41</x:f>
        <x:v>176317</x:v>
      </x:c>
      <x:c r="K23" s="34" t="str">
        <x:f>'EBITDA по источникам'!F41</x:f>
        <x:v>н.д.</x:v>
      </x:c>
      <x:c r="L23" s="34" t="str">
        <x:f>'EBITDA по источникам'!G41</x:f>
        <x:v>н.д.</x:v>
      </x:c>
      <x:c r="M23" s="34" t="str">
        <x:f>'EBITDA по источникам'!H41</x:f>
        <x:v>н.д.</x:v>
      </x:c>
      <x:c r="N23" s="34" t="str">
        <x:f>'EBITDA по источникам'!I41</x:f>
        <x:v>н.д.</x:v>
      </x:c>
      <x:c r="O23" s="34" t="str">
        <x:f>'EBITDA по источникам'!J41</x:f>
        <x:v>н.п.</x:v>
      </x:c>
      <x:c r="P23" s="34" t="str">
        <x:f>'EBITDA по источникам'!K41</x:f>
        <x:v>н.п.</x:v>
      </x:c>
      <x:c r="Q23" s="34" t="str">
        <x:f>'EBITDA по источникам'!L41</x:f>
        <x:v>н.п.</x:v>
      </x:c>
      <x:c r="R23" s="34" t="str">
        <x:f>'EBITDA по источникам'!M41</x:f>
        <x:v>н.п.</x:v>
      </x:c>
      <x:c r="S23" s="34" t="str">
        <x:f>'EBITDA по источникам'!N41</x:f>
        <x:v>н.п.</x:v>
      </x:c>
      <x:c r="T23" s="34" t="str">
        <x:f>'EBITDA по источникам'!O41</x:f>
        <x:v>н.п.</x:v>
      </x:c>
      <x:c r="U23" s="34" t="str">
        <x:f>'EBITDA по источникам'!P41</x:f>
        <x:v>н.п.</x:v>
      </x:c>
      <x:c r="V23" s="34" t="str">
        <x:f>'EBITDA по источникам'!Q41</x:f>
        <x:v>н.п.</x:v>
      </x:c>
      <x:c r="W23" s="34" t="str">
        <x:f>'EBITDA по источникам'!R41</x:f>
        <x:v>н.п.</x:v>
      </x:c>
      <x:c r="X23" s="34" t="n">
        <x:f>IF('Финансы 3 года'!S58="","н.д.",'Финансы 3 года'!S58)</x:f>
        <x:v>320468</x:v>
      </x:c>
      <x:c r="Y23" s="34"/>
      <x:c r="Z23" s="34"/>
      <x:c r="AA23" s="35" t="str">
        <x:f>'Финансы 3 года'!T58</x:f>
        <x:v>Фосагро_МСФО_2025.pdf</x:v>
      </x:c>
      <x:c r="AB23" s="35" t="str">
        <x:f>'Финансы 3 года'!U58</x:f>
        <x:v>8</x:v>
      </x:c>
    </x:row>
    <x:row r="24">
      <x:c r="A24" s="13" t="n">
        <x:v>19</x:v>
      </x:c>
      <x:c r="B24" s="13" t="str">
        <x:v>Ростелеком</x:v>
      </x:c>
      <x:c r="C24" s="13" t="str">
        <x:v>RTKM</x:v>
      </x:c>
      <x:c r="D24" s="13" t="str">
        <x:v>Телеком</x:v>
      </x:c>
      <x:c r="E24" s="13" t="str">
        <x:v>Есть МСФО</x:v>
      </x:c>
      <x:c r="F24" s="13" t="str">
        <x:v>RUB</x:v>
      </x:c>
      <x:c r="G24" s="34" t="n">
        <x:f>IF('Финансы 3 года'!E61="","н.д.",'Финансы 3 года'!E61)</x:f>
        <x:v>872790</x:v>
      </x:c>
      <x:c r="H24" s="34" t="n">
        <x:f>IF('Финансы 3 года'!F61="","н.д.",'Финансы 3 года'!F61)</x:f>
        <x:v>18715</x:v>
      </x:c>
      <x:c r="I24" s="34" t="str">
        <x:f>'EBITDA по источникам'!D43</x:f>
        <x:v>н.д.</x:v>
      </x:c>
      <x:c r="J24" s="34" t="str">
        <x:f>'EBITDA по источникам'!E43</x:f>
        <x:v>н.д.</x:v>
      </x:c>
      <x:c r="K24" s="34" t="str">
        <x:f>'EBITDA по источникам'!F43</x:f>
        <x:v>н.д.</x:v>
      </x:c>
      <x:c r="L24" s="34" t="str">
        <x:f>'EBITDA по источникам'!G43</x:f>
        <x:v>н.д.</x:v>
      </x:c>
      <x:c r="M24" s="34" t="str">
        <x:f>'EBITDA по источникам'!H43</x:f>
        <x:v>н.д.</x:v>
      </x:c>
      <x:c r="N24" s="34" t="str">
        <x:f>'EBITDA по источникам'!I43</x:f>
        <x:v>н.д.</x:v>
      </x:c>
      <x:c r="O24" s="34" t="str">
        <x:f>'EBITDA по источникам'!J43</x:f>
        <x:v>н.п.</x:v>
      </x:c>
      <x:c r="P24" s="34" t="str">
        <x:f>'EBITDA по источникам'!K43</x:f>
        <x:v>н.п.</x:v>
      </x:c>
      <x:c r="Q24" s="34" t="str">
        <x:f>'EBITDA по источникам'!L43</x:f>
        <x:v>н.п.</x:v>
      </x:c>
      <x:c r="R24" s="34" t="str">
        <x:f>'EBITDA по источникам'!M43</x:f>
        <x:v>н.п.</x:v>
      </x:c>
      <x:c r="S24" s="34" t="str">
        <x:f>'EBITDA по источникам'!N43</x:f>
        <x:v>н.п.</x:v>
      </x:c>
      <x:c r="T24" s="34" t="str">
        <x:f>'EBITDA по источникам'!O43</x:f>
        <x:v>н.п.</x:v>
      </x:c>
      <x:c r="U24" s="34" t="n">
        <x:f>'EBITDA по источникам'!P43</x:f>
        <x:v>331048</x:v>
      </x:c>
      <x:c r="V24" s="34" t="n">
        <x:f>'EBITDA по источникам'!Q43</x:f>
        <x:v>331048</x:v>
      </x:c>
      <x:c r="W24" s="34" t="str">
        <x:f>'EBITDA по источникам'!R43</x:f>
        <x:v>н.д.</x:v>
      </x:c>
      <x:c r="X24" s="34" t="n">
        <x:f>IF('Финансы 3 года'!S61="","н.д.",'Финансы 3 года'!S61)</x:f>
        <x:v>689637</x:v>
      </x:c>
      <x:c r="Y24" s="34"/>
      <x:c r="Z24" s="34"/>
      <x:c r="AA24" s="35" t="str">
        <x:f>'Финансы 3 года'!T61</x:f>
        <x:v>Ростелеком_МСФО_2025.pdf</x:v>
      </x:c>
      <x:c r="AB24" s="35" t="str">
        <x:f>'Финансы 3 года'!U61</x:f>
        <x:v>3</x:v>
      </x:c>
    </x:row>
    <x:row r="25">
      <x:c r="A25" s="13" t="n">
        <x:v>20</x:v>
      </x:c>
      <x:c r="B25" s="13" t="str">
        <x:v>Аэрофлот</x:v>
      </x:c>
      <x:c r="C25" s="13" t="str">
        <x:v>AFLT</x:v>
      </x:c>
      <x:c r="D25" s="13" t="str">
        <x:v>Авиаперевозки</x:v>
      </x:c>
      <x:c r="E25" s="13" t="str">
        <x:v>Есть МСФО</x:v>
      </x:c>
      <x:c r="F25" s="13" t="str">
        <x:v>RUB</x:v>
      </x:c>
      <x:c r="G25" s="34" t="n">
        <x:f>IF('Финансы 3 года'!E64="","н.д.",'Финансы 3 года'!E64)</x:f>
        <x:v>902261</x:v>
      </x:c>
      <x:c r="H25" s="34" t="n">
        <x:f>IF('Финансы 3 года'!F64="","н.д.",'Финансы 3 года'!F64)</x:f>
        <x:v>105505</x:v>
      </x:c>
      <x:c r="I25" s="34" t="n">
        <x:f>'EBITDA по источникам'!D45</x:f>
        <x:v>253651</x:v>
      </x:c>
      <x:c r="J25" s="34" t="n">
        <x:f>'EBITDA по источникам'!E45</x:f>
        <x:v>253651</x:v>
      </x:c>
      <x:c r="K25" s="34" t="str">
        <x:f>'EBITDA по источникам'!F45</x:f>
        <x:v>н.д.</x:v>
      </x:c>
      <x:c r="L25" s="34" t="str">
        <x:f>'EBITDA по источникам'!G45</x:f>
        <x:v>н.д.</x:v>
      </x:c>
      <x:c r="M25" s="34" t="str">
        <x:f>'EBITDA по источникам'!H45</x:f>
        <x:v>н.д.</x:v>
      </x:c>
      <x:c r="N25" s="34" t="n">
        <x:f>'EBITDA по источникам'!I45</x:f>
        <x:v>185036</x:v>
      </x:c>
      <x:c r="O25" s="34" t="str">
        <x:f>'EBITDA по источникам'!J45</x:f>
        <x:v>н.п.</x:v>
      </x:c>
      <x:c r="P25" s="34" t="str">
        <x:f>'EBITDA по источникам'!K45</x:f>
        <x:v>н.п.</x:v>
      </x:c>
      <x:c r="Q25" s="34" t="str">
        <x:f>'EBITDA по источникам'!L45</x:f>
        <x:v>н.п.</x:v>
      </x:c>
      <x:c r="R25" s="34" t="str">
        <x:f>'EBITDA по источникам'!M45</x:f>
        <x:v>н.п.</x:v>
      </x:c>
      <x:c r="S25" s="34" t="str">
        <x:f>'EBITDA по источникам'!N45</x:f>
        <x:v>н.п.</x:v>
      </x:c>
      <x:c r="T25" s="34" t="str">
        <x:f>'EBITDA по источникам'!O45</x:f>
        <x:v>н.п.</x:v>
      </x:c>
      <x:c r="U25" s="34" t="str">
        <x:f>'EBITDA по источникам'!P45</x:f>
        <x:v>н.п.</x:v>
      </x:c>
      <x:c r="V25" s="34" t="str">
        <x:f>'EBITDA по источникам'!Q45</x:f>
        <x:v>н.п.</x:v>
      </x:c>
      <x:c r="W25" s="34" t="str">
        <x:f>'EBITDA по источникам'!R45</x:f>
        <x:v>н.п.</x:v>
      </x:c>
      <x:c r="X25" s="34" t="n">
        <x:f>IF('Финансы 3 года'!S64="","н.д.",'Финансы 3 года'!S64)</x:f>
        <x:v>535492</x:v>
      </x:c>
      <x:c r="Y25" s="34"/>
      <x:c r="Z25" s="34"/>
      <x:c r="AA25" s="35" t="str">
        <x:f>'Финансы 3 года'!T64</x:f>
        <x:v>Аэрофлот_МСФО_2025.pdf</x:v>
      </x:c>
      <x:c r="AB25" s="35" t="str">
        <x:f>'Финансы 3 года'!U64</x:f>
        <x:v>9, 10</x:v>
      </x:c>
    </x:row>
    <x:row r="26">
      <x:c r="A26" s="13" t="n">
        <x:v>21</x:v>
      </x:c>
      <x:c r="B26" s="13" t="str">
        <x:v>ММК</x:v>
      </x:c>
      <x:c r="C26" s="13" t="str">
        <x:v>MAGN</x:v>
      </x:c>
      <x:c r="D26" s="13" t="str">
        <x:v>Металлургия</x:v>
      </x:c>
      <x:c r="E26" s="13" t="str">
        <x:v>Есть МСФО</x:v>
      </x:c>
      <x:c r="F26" s="13" t="str">
        <x:v>RUB</x:v>
      </x:c>
      <x:c r="G26" s="34" t="n">
        <x:f>IF('Финансы 3 года'!E67="","н.д.",'Финансы 3 года'!E67)</x:f>
        <x:v>609865</x:v>
      </x:c>
      <x:c r="H26" s="34" t="n">
        <x:f>IF('Финансы 3 года'!F67="","н.д.",'Финансы 3 года'!F67)</x:f>
        <x:v>-14855</x:v>
      </x:c>
      <x:c r="I26" s="34" t="n">
        <x:f>'EBITDA по источникам'!D47</x:f>
        <x:v>80757</x:v>
      </x:c>
      <x:c r="J26" s="34" t="str">
        <x:f>'EBITDA по источникам'!E47</x:f>
        <x:v>н.д.</x:v>
      </x:c>
      <x:c r="K26" s="34" t="str">
        <x:f>'EBITDA по источникам'!F47</x:f>
        <x:v>н.д.</x:v>
      </x:c>
      <x:c r="L26" s="34" t="str">
        <x:f>'EBITDA по источникам'!G47</x:f>
        <x:v>н.д.</x:v>
      </x:c>
      <x:c r="M26" s="34" t="str">
        <x:f>'EBITDA по источникам'!H47</x:f>
        <x:v>н.д.</x:v>
      </x:c>
      <x:c r="N26" s="34" t="str">
        <x:f>'EBITDA по источникам'!I47</x:f>
        <x:v>н.д.</x:v>
      </x:c>
      <x:c r="O26" s="34" t="str">
        <x:f>'EBITDA по источникам'!J47</x:f>
        <x:v>н.п.</x:v>
      </x:c>
      <x:c r="P26" s="34" t="str">
        <x:f>'EBITDA по источникам'!K47</x:f>
        <x:v>н.п.</x:v>
      </x:c>
      <x:c r="Q26" s="34" t="str">
        <x:f>'EBITDA по источникам'!L47</x:f>
        <x:v>н.п.</x:v>
      </x:c>
      <x:c r="R26" s="34" t="str">
        <x:f>'EBITDA по источникам'!M47</x:f>
        <x:v>н.п.</x:v>
      </x:c>
      <x:c r="S26" s="34" t="str">
        <x:f>'EBITDA по источникам'!N47</x:f>
        <x:v>н.п.</x:v>
      </x:c>
      <x:c r="T26" s="34" t="str">
        <x:f>'EBITDA по источникам'!O47</x:f>
        <x:v>н.п.</x:v>
      </x:c>
      <x:c r="U26" s="34" t="str">
        <x:f>'EBITDA по источникам'!P47</x:f>
        <x:v>н.п.</x:v>
      </x:c>
      <x:c r="V26" s="34" t="str">
        <x:f>'EBITDA по источникам'!Q47</x:f>
        <x:v>н.п.</x:v>
      </x:c>
      <x:c r="W26" s="34" t="str">
        <x:f>'EBITDA по источникам'!R47</x:f>
        <x:v>н.п.</x:v>
      </x:c>
      <x:c r="X26" s="34" t="n">
        <x:f>IF('Финансы 3 года'!S67="","н.д.",'Финансы 3 года'!S67)</x:f>
        <x:v>-79923</x:v>
      </x:c>
      <x:c r="Y26" s="34"/>
      <x:c r="Z26" s="34"/>
      <x:c r="AA26" s="35" t="str">
        <x:f>'Финансы 3 года'!T67</x:f>
        <x:v>ММК_МСФО_2025.pdf</x:v>
      </x:c>
      <x:c r="AB26" s="35" t="str">
        <x:f>'Финансы 3 года'!U67</x:f>
        <x:v>9</x:v>
      </x:c>
    </x:row>
    <x:row r="27">
      <x:c r="A27" s="13" t="n">
        <x:v>22</x:v>
      </x:c>
      <x:c r="B27" s="13" t="str">
        <x:v>Эн+ Груп</x:v>
      </x:c>
      <x:c r="C27" s="13" t="str">
        <x:v>ENPG</x:v>
      </x:c>
      <x:c r="D27" s="13" t="str">
        <x:v>Энергетика / металлургия</x:v>
      </x:c>
      <x:c r="E27" s="13" t="str">
        <x:v>Есть МСФО</x:v>
      </x:c>
      <x:c r="F27" s="13" t="str">
        <x:v>USD</x:v>
      </x:c>
      <x:c r="G27" s="34" t="n">
        <x:f>IF('Финансы 3 года'!E70="","н.д.",'Финансы 3 года'!E70)</x:f>
        <x:v>17703</x:v>
      </x:c>
      <x:c r="H27" s="34" t="n">
        <x:f>IF('Финансы 3 года'!F70="","н.д.",'Финансы 3 года'!F70)</x:f>
        <x:v>235</x:v>
      </x:c>
      <x:c r="I27" s="34" t="str">
        <x:f>'EBITDA по источникам'!D49</x:f>
        <x:v>н.д.</x:v>
      </x:c>
      <x:c r="J27" s="34" t="str">
        <x:f>'EBITDA по источникам'!E49</x:f>
        <x:v>н.д.</x:v>
      </x:c>
      <x:c r="K27" s="34" t="str">
        <x:f>'EBITDA по источникам'!F49</x:f>
        <x:v>н.д.</x:v>
      </x:c>
      <x:c r="L27" s="34" t="n">
        <x:f>'EBITDA по источникам'!G49</x:f>
        <x:v>2700</x:v>
      </x:c>
      <x:c r="M27" s="34" t="n">
        <x:f>'EBITDA по источникам'!H49</x:f>
        <x:v>2700</x:v>
      </x:c>
      <x:c r="N27" s="34" t="str">
        <x:f>'EBITDA по источникам'!I49</x:f>
        <x:v>н.д.</x:v>
      </x:c>
      <x:c r="O27" s="34" t="str">
        <x:f>'EBITDA по источникам'!J49</x:f>
        <x:v>н.п.</x:v>
      </x:c>
      <x:c r="P27" s="34" t="str">
        <x:f>'EBITDA по источникам'!K49</x:f>
        <x:v>н.п.</x:v>
      </x:c>
      <x:c r="Q27" s="34" t="str">
        <x:f>'EBITDA по источникам'!L49</x:f>
        <x:v>н.п.</x:v>
      </x:c>
      <x:c r="R27" s="34" t="str">
        <x:f>'EBITDA по источникам'!M49</x:f>
        <x:v>н.п.</x:v>
      </x:c>
      <x:c r="S27" s="34" t="str">
        <x:f>'EBITDA по источникам'!N49</x:f>
        <x:v>н.п.</x:v>
      </x:c>
      <x:c r="T27" s="34" t="str">
        <x:f>'EBITDA по источникам'!O49</x:f>
        <x:v>н.п.</x:v>
      </x:c>
      <x:c r="U27" s="34" t="str">
        <x:f>'EBITDA по источникам'!P49</x:f>
        <x:v>н.п.</x:v>
      </x:c>
      <x:c r="V27" s="34" t="str">
        <x:f>'EBITDA по источникам'!Q49</x:f>
        <x:v>н.п.</x:v>
      </x:c>
      <x:c r="W27" s="34" t="str">
        <x:f>'EBITDA по источникам'!R49</x:f>
        <x:v>н.п.</x:v>
      </x:c>
      <x:c r="X27" s="34" t="n">
        <x:f>IF('Финансы 3 года'!S70="","н.д.",'Финансы 3 года'!S70)</x:f>
        <x:v>11109</x:v>
      </x:c>
      <x:c r="Y27" s="34"/>
      <x:c r="Z27" s="34"/>
      <x:c r="AA27" s="35" t="str">
        <x:f>'Финансы 3 года'!T70</x:f>
        <x:v>Эн+_отчет_МСФО_2025.pdf</x:v>
      </x:c>
      <x:c r="AB27" s="35" t="str">
        <x:f>'Финансы 3 года'!U70</x:f>
        <x:v>9, 10</x:v>
      </x:c>
    </x:row>
    <x:row r="28">
      <x:c r="A28" s="13" t="n">
        <x:v>23</x:v>
      </x:c>
      <x:c r="B28" s="13" t="str">
        <x:v>MD Medical</x:v>
      </x:c>
      <x:c r="C28" s="13" t="str">
        <x:v>MDMG</x:v>
      </x:c>
      <x:c r="D28" s="13" t="str">
        <x:v>Медицина</x:v>
      </x:c>
      <x:c r="E28" s="13" t="str">
        <x:v>Есть МСФО</x:v>
      </x:c>
      <x:c r="F28" s="13" t="str">
        <x:v>RUB</x:v>
      </x:c>
      <x:c r="G28" s="34" t="n">
        <x:f>IF('Финансы 3 года'!E73="","н.д.",'Финансы 3 года'!E73)</x:f>
        <x:v>43455</x:v>
      </x:c>
      <x:c r="H28" s="34" t="n">
        <x:f>IF('Финансы 3 года'!F73="","н.д.",'Финансы 3 года'!F73)</x:f>
        <x:v>11035</x:v>
      </x:c>
      <x:c r="I28" s="34" t="str">
        <x:f>'EBITDA по источникам'!D51</x:f>
        <x:v>н.д.</x:v>
      </x:c>
      <x:c r="J28" s="34" t="n">
        <x:f>'EBITDA по источникам'!E51</x:f>
        <x:v>13289</x:v>
      </x:c>
      <x:c r="K28" s="34" t="str">
        <x:f>'EBITDA по источникам'!F51</x:f>
        <x:v>н.д.</x:v>
      </x:c>
      <x:c r="L28" s="34" t="str">
        <x:f>'EBITDA по источникам'!G51</x:f>
        <x:v>н.д.</x:v>
      </x:c>
      <x:c r="M28" s="34" t="str">
        <x:f>'EBITDA по источникам'!H51</x:f>
        <x:v>н.д.</x:v>
      </x:c>
      <x:c r="N28" s="34" t="str">
        <x:f>'EBITDA по источникам'!I51</x:f>
        <x:v>н.д.</x:v>
      </x:c>
      <x:c r="O28" s="34" t="str">
        <x:f>'EBITDA по источникам'!J51</x:f>
        <x:v>н.п.</x:v>
      </x:c>
      <x:c r="P28" s="34" t="str">
        <x:f>'EBITDA по источникам'!K51</x:f>
        <x:v>н.п.</x:v>
      </x:c>
      <x:c r="Q28" s="34" t="str">
        <x:f>'EBITDA по источникам'!L51</x:f>
        <x:v>н.п.</x:v>
      </x:c>
      <x:c r="R28" s="34" t="str">
        <x:f>'EBITDA по источникам'!M51</x:f>
        <x:v>н.п.</x:v>
      </x:c>
      <x:c r="S28" s="34" t="str">
        <x:f>'EBITDA по источникам'!N51</x:f>
        <x:v>н.п.</x:v>
      </x:c>
      <x:c r="T28" s="34" t="str">
        <x:f>'EBITDA по источникам'!O51</x:f>
        <x:v>н.п.</x:v>
      </x:c>
      <x:c r="U28" s="34" t="str">
        <x:f>'EBITDA по источникам'!P51</x:f>
        <x:v>н.п.</x:v>
      </x:c>
      <x:c r="V28" s="34" t="str">
        <x:f>'EBITDA по источникам'!Q51</x:f>
        <x:v>н.п.</x:v>
      </x:c>
      <x:c r="W28" s="34" t="str">
        <x:f>'EBITDA по источникам'!R51</x:f>
        <x:v>н.п.</x:v>
      </x:c>
      <x:c r="X28" s="34" t="n">
        <x:f>IF('Финансы 3 года'!S73="","н.д.",'Финансы 3 года'!S73)</x:f>
        <x:v>368</x:v>
      </x:c>
      <x:c r="Y28" s="34"/>
      <x:c r="Z28" s="34"/>
      <x:c r="AA28" s="35" t="str">
        <x:f>'Финансы 3 года'!T73</x:f>
        <x:v>МД Медикал МСФО.pdf</x:v>
      </x:c>
      <x:c r="AB28" s="35" t="str">
        <x:f>'Финансы 3 года'!U73</x:f>
        <x:v>19</x:v>
      </x:c>
    </x:row>
    <x:row r="29">
      <x:c r="A29" s="13" t="n">
        <x:v>24</x:v>
      </x:c>
      <x:c r="B29" s="13" t="str">
        <x:v>Лента</x:v>
      </x:c>
      <x:c r="C29" s="13" t="str">
        <x:v>LENT</x:v>
      </x:c>
      <x:c r="D29" s="13" t="str">
        <x:v>Ритейл</x:v>
      </x:c>
      <x:c r="E29" s="13" t="str">
        <x:v>Есть МСФО</x:v>
      </x:c>
      <x:c r="F29" s="13" t="str">
        <x:v>RUB</x:v>
      </x:c>
      <x:c r="G29" s="34" t="n">
        <x:f>IF('Финансы 3 года'!E76="","н.д.",'Финансы 3 года'!E76)</x:f>
        <x:v>1103662.719</x:v>
      </x:c>
      <x:c r="H29" s="34" t="n">
        <x:f>IF('Финансы 3 года'!F76="","н.д.",'Финансы 3 года'!F76)</x:f>
        <x:v>34851.311</x:v>
      </x:c>
      <x:c r="I29" s="34" t="str">
        <x:f>'EBITDA по источникам'!D53</x:f>
        <x:v>н.д.</x:v>
      </x:c>
      <x:c r="J29" s="34" t="n">
        <x:f>'EBITDA по источникам'!E53</x:f>
        <x:v>113015.443</x:v>
      </x:c>
      <x:c r="K29" s="34" t="str">
        <x:f>'EBITDA по источникам'!F53</x:f>
        <x:v>н.д.</x:v>
      </x:c>
      <x:c r="L29" s="34" t="str">
        <x:f>'EBITDA по источникам'!G53</x:f>
        <x:v>н.д.</x:v>
      </x:c>
      <x:c r="M29" s="34" t="str">
        <x:f>'EBITDA по источникам'!H53</x:f>
        <x:v>н.д.</x:v>
      </x:c>
      <x:c r="N29" s="34" t="str">
        <x:f>'EBITDA по источникам'!I53</x:f>
        <x:v>н.д.</x:v>
      </x:c>
      <x:c r="O29" s="34" t="str">
        <x:f>'EBITDA по источникам'!J53</x:f>
        <x:v>н.д.</x:v>
      </x:c>
      <x:c r="P29" s="34" t="str">
        <x:f>'EBITDA по источникам'!K53</x:f>
        <x:v>н.д.</x:v>
      </x:c>
      <x:c r="Q29" s="34" t="str">
        <x:f>'EBITDA по источникам'!L53</x:f>
        <x:v>н.д.</x:v>
      </x:c>
      <x:c r="R29" s="34" t="str">
        <x:f>'EBITDA по источникам'!M53</x:f>
        <x:v>н.п.</x:v>
      </x:c>
      <x:c r="S29" s="34" t="str">
        <x:f>'EBITDA по источникам'!N53</x:f>
        <x:v>н.п.</x:v>
      </x:c>
      <x:c r="T29" s="34" t="str">
        <x:f>'EBITDA по источникам'!O53</x:f>
        <x:v>н.п.</x:v>
      </x:c>
      <x:c r="U29" s="34" t="str">
        <x:f>'EBITDA по источникам'!P53</x:f>
        <x:v>н.п.</x:v>
      </x:c>
      <x:c r="V29" s="34" t="str">
        <x:f>'EBITDA по источникам'!Q53</x:f>
        <x:v>н.п.</x:v>
      </x:c>
      <x:c r="W29" s="34" t="str">
        <x:f>'EBITDA по источникам'!R53</x:f>
        <x:v>н.п.</x:v>
      </x:c>
      <x:c r="X29" s="34" t="n">
        <x:f>IF('Финансы 3 года'!S76="","н.д.",'Финансы 3 года'!S76)</x:f>
        <x:v>168348.644</x:v>
      </x:c>
      <x:c r="Y29" s="34"/>
      <x:c r="Z29" s="34"/>
      <x:c r="AA29" s="35" t="str">
        <x:f>'Финансы 3 года'!T76</x:f>
        <x:v>Лента_МСФО_2025.pdf</x:v>
      </x:c>
      <x:c r="AB29" s="35" t="str">
        <x:f>'Финансы 3 года'!U76</x:f>
        <x:v>7</x:v>
      </x:c>
    </x:row>
    <x:row r="30">
      <x:c r="A30" s="13" t="n">
        <x:v>25</x:v>
      </x:c>
      <x:c r="B30" s="13" t="str">
        <x:v>Совкомфлот</x:v>
      </x:c>
      <x:c r="C30" s="13" t="str">
        <x:v>FLOT</x:v>
      </x:c>
      <x:c r="D30" s="13" t="str">
        <x:v>Морские перевозки</x:v>
      </x:c>
      <x:c r="E30" s="13" t="str">
        <x:v>Есть МСФО</x:v>
      </x:c>
      <x:c r="F30" s="13" t="str">
        <x:v>USD</x:v>
      </x:c>
      <x:c r="G30" s="34" t="n">
        <x:f>IF('Финансы 3 года'!E79="","н.д.",'Финансы 3 года'!E79)</x:f>
        <x:v>1309.899</x:v>
      </x:c>
      <x:c r="H30" s="34" t="n">
        <x:f>IF('Финансы 3 года'!F79="","н.д.",'Финансы 3 года'!F79)</x:f>
        <x:v>-648.404</x:v>
      </x:c>
      <x:c r="I30" s="34" t="str">
        <x:f>'EBITDA по источникам'!D55</x:f>
        <x:v>н.д.</x:v>
      </x:c>
      <x:c r="J30" s="34" t="n">
        <x:f>'EBITDA по источникам'!E55</x:f>
        <x:v>525.625</x:v>
      </x:c>
      <x:c r="K30" s="34" t="str">
        <x:f>'EBITDA по источникам'!F55</x:f>
        <x:v>н.д.</x:v>
      </x:c>
      <x:c r="L30" s="34" t="str">
        <x:f>'EBITDA по источникам'!G55</x:f>
        <x:v>н.д.</x:v>
      </x:c>
      <x:c r="M30" s="34" t="str">
        <x:f>'EBITDA по источникам'!H55</x:f>
        <x:v>н.д.</x:v>
      </x:c>
      <x:c r="N30" s="34" t="str">
        <x:f>'EBITDA по источникам'!I55</x:f>
        <x:v>н.д.</x:v>
      </x:c>
      <x:c r="O30" s="34" t="str">
        <x:f>'EBITDA по источникам'!J55</x:f>
        <x:v>н.п.</x:v>
      </x:c>
      <x:c r="P30" s="34" t="str">
        <x:f>'EBITDA по источникам'!K55</x:f>
        <x:v>н.п.</x:v>
      </x:c>
      <x:c r="Q30" s="34" t="str">
        <x:f>'EBITDA по источникам'!L55</x:f>
        <x:v>н.п.</x:v>
      </x:c>
      <x:c r="R30" s="34" t="str">
        <x:f>'EBITDA по источникам'!M55</x:f>
        <x:v>н.п.</x:v>
      </x:c>
      <x:c r="S30" s="34" t="str">
        <x:f>'EBITDA по источникам'!N55</x:f>
        <x:v>н.п.</x:v>
      </x:c>
      <x:c r="T30" s="34" t="str">
        <x:f>'EBITDA по источникам'!O55</x:f>
        <x:v>н.п.</x:v>
      </x:c>
      <x:c r="U30" s="34" t="str">
        <x:f>'EBITDA по источникам'!P55</x:f>
        <x:v>н.п.</x:v>
      </x:c>
      <x:c r="V30" s="34" t="str">
        <x:f>'EBITDA по источникам'!Q55</x:f>
        <x:v>н.п.</x:v>
      </x:c>
      <x:c r="W30" s="34" t="str">
        <x:f>'EBITDA по источникам'!R55</x:f>
        <x:v>н.п.</x:v>
      </x:c>
      <x:c r="X30" s="34" t="n">
        <x:f>IF('Финансы 3 года'!S79="","н.д.",'Финансы 3 года'!S79)</x:f>
        <x:v>359.29</x:v>
      </x:c>
      <x:c r="Y30" s="34"/>
      <x:c r="Z30" s="34"/>
      <x:c r="AA30" s="35" t="str">
        <x:f>'Финансы 3 года'!T79</x:f>
        <x:v>Совкомфлот_МСФО_2025.pdf</x:v>
      </x:c>
      <x:c r="AB30" s="35" t="str">
        <x:f>'Финансы 3 года'!U79</x:f>
        <x:v>3, 4</x:v>
      </x:c>
    </x:row>
    <x:row r="31">
      <x:c r="A31" s="13" t="n">
        <x:v>26</x:v>
      </x:c>
      <x:c r="B31" s="13" t="str">
        <x:v>Банк Санкт-Петербург</x:v>
      </x:c>
      <x:c r="C31" s="13" t="str">
        <x:v>BSPB</x:v>
      </x:c>
      <x:c r="D31" s="13" t="str">
        <x:v>Банк</x:v>
      </x:c>
      <x:c r="E31" s="13" t="str">
        <x:v>Есть МСФО</x:v>
      </x:c>
      <x:c r="F31" s="13" t="str">
        <x:v>RUB</x:v>
      </x:c>
      <x:c r="G31" s="34" t="str">
        <x:f>IF('Финансы 3 года'!E82="","н.д.",'Финансы 3 года'!E82)</x:f>
        <x:v>н.п.</x:v>
      </x:c>
      <x:c r="H31" s="34" t="n">
        <x:f>IF('Финансы 3 года'!F82="","н.д.",'Финансы 3 года'!F82)</x:f>
        <x:v>37847</x:v>
      </x:c>
      <x:c r="I31" s="34" t="str">
        <x:f>'EBITDA по источникам'!D57</x:f>
        <x:v>н.п.</x:v>
      </x:c>
      <x:c r="J31" s="34" t="str">
        <x:f>'EBITDA по источникам'!E57</x:f>
        <x:v>н.п.</x:v>
      </x:c>
      <x:c r="K31" s="34" t="str">
        <x:f>'EBITDA по источникам'!F57</x:f>
        <x:v>н.п.</x:v>
      </x:c>
      <x:c r="L31" s="34" t="str">
        <x:f>'EBITDA по источникам'!G57</x:f>
        <x:v>н.п.</x:v>
      </x:c>
      <x:c r="M31" s="34" t="str">
        <x:f>'EBITDA по источникам'!H57</x:f>
        <x:v>н.п.</x:v>
      </x:c>
      <x:c r="N31" s="34" t="str">
        <x:f>'EBITDA по источникам'!I57</x:f>
        <x:v>н.п.</x:v>
      </x:c>
      <x:c r="O31" s="34" t="str">
        <x:f>'EBITDA по источникам'!J57</x:f>
        <x:v>н.п.</x:v>
      </x:c>
      <x:c r="P31" s="34" t="str">
        <x:f>'EBITDA по источникам'!K57</x:f>
        <x:v>н.п.</x:v>
      </x:c>
      <x:c r="Q31" s="34" t="str">
        <x:f>'EBITDA по источникам'!L57</x:f>
        <x:v>н.п.</x:v>
      </x:c>
      <x:c r="R31" s="34" t="str">
        <x:f>'EBITDA по источникам'!M57</x:f>
        <x:v>н.п.</x:v>
      </x:c>
      <x:c r="S31" s="34" t="str">
        <x:f>'EBITDA по источникам'!N57</x:f>
        <x:v>н.п.</x:v>
      </x:c>
      <x:c r="T31" s="34" t="str">
        <x:f>'EBITDA по источникам'!O57</x:f>
        <x:v>н.п.</x:v>
      </x:c>
      <x:c r="U31" s="34" t="str">
        <x:f>'EBITDA по источникам'!P57</x:f>
        <x:v>н.п.</x:v>
      </x:c>
      <x:c r="V31" s="34" t="str">
        <x:f>'EBITDA по источникам'!Q57</x:f>
        <x:v>н.п.</x:v>
      </x:c>
      <x:c r="W31" s="34" t="str">
        <x:f>'EBITDA по источникам'!R57</x:f>
        <x:v>н.п.</x:v>
      </x:c>
      <x:c r="X31" s="34" t="str">
        <x:f>IF('Финансы 3 года'!S82="","н.д.",'Финансы 3 года'!S82)</x:f>
        <x:v>н.п.</x:v>
      </x:c>
      <x:c r="Y31" s="34"/>
      <x:c r="Z31" s="34"/>
      <x:c r="AA31" s="35" t="str">
        <x:f>'Финансы 3 года'!T82</x:f>
        <x:v>Банк_Санкт_Петербург_МСФО_2025.pdf</x:v>
      </x:c>
      <x:c r="AB31" s="35" t="str">
        <x:f>'Финансы 3 года'!U82</x:f>
        <x:v>6</x:v>
      </x:c>
    </x:row>
    <x:row r="32">
      <x:c r="A32" s="13" t="n">
        <x:v>27</x:v>
      </x:c>
      <x:c r="B32" s="13" t="str">
        <x:v>АЛРОСА</x:v>
      </x:c>
      <x:c r="C32" s="13" t="str">
        <x:v>ALRS</x:v>
      </x:c>
      <x:c r="D32" s="13" t="str">
        <x:v>Алмазодобыча</x:v>
      </x:c>
      <x:c r="E32" s="13" t="str">
        <x:v>Есть МСФО</x:v>
      </x:c>
      <x:c r="F32" s="13" t="str">
        <x:v>RUB</x:v>
      </x:c>
      <x:c r="G32" s="34" t="n">
        <x:f>IF('Финансы 3 года'!E85="","н.д.",'Финансы 3 года'!E85)</x:f>
        <x:v>241129</x:v>
      </x:c>
      <x:c r="H32" s="34" t="n">
        <x:f>IF('Финансы 3 года'!F85="","н.д.",'Финансы 3 года'!F85)</x:f>
        <x:v>36239</x:v>
      </x:c>
      <x:c r="I32" s="34" t="n">
        <x:f>'EBITDA по источникам'!D59</x:f>
        <x:v>57823</x:v>
      </x:c>
      <x:c r="J32" s="34" t="n">
        <x:f>'EBITDA по источникам'!E59</x:f>
        <x:v>57823</x:v>
      </x:c>
      <x:c r="K32" s="34" t="str">
        <x:f>'EBITDA по источникам'!F59</x:f>
        <x:v>н.д.</x:v>
      </x:c>
      <x:c r="L32" s="34" t="str">
        <x:f>'EBITDA по источникам'!G59</x:f>
        <x:v>н.д.</x:v>
      </x:c>
      <x:c r="M32" s="34" t="str">
        <x:f>'EBITDA по источникам'!H59</x:f>
        <x:v>н.д.</x:v>
      </x:c>
      <x:c r="N32" s="34" t="str">
        <x:f>'EBITDA по источникам'!I59</x:f>
        <x:v>н.д.</x:v>
      </x:c>
      <x:c r="O32" s="34" t="str">
        <x:f>'EBITDA по источникам'!J59</x:f>
        <x:v>н.п.</x:v>
      </x:c>
      <x:c r="P32" s="34" t="str">
        <x:f>'EBITDA по источникам'!K59</x:f>
        <x:v>н.п.</x:v>
      </x:c>
      <x:c r="Q32" s="34" t="str">
        <x:f>'EBITDA по источникам'!L59</x:f>
        <x:v>н.п.</x:v>
      </x:c>
      <x:c r="R32" s="34" t="str">
        <x:f>'EBITDA по источникам'!M59</x:f>
        <x:v>н.п.</x:v>
      </x:c>
      <x:c r="S32" s="34" t="str">
        <x:f>'EBITDA по источникам'!N59</x:f>
        <x:v>н.п.</x:v>
      </x:c>
      <x:c r="T32" s="34" t="str">
        <x:f>'EBITDA по источникам'!O59</x:f>
        <x:v>н.п.</x:v>
      </x:c>
      <x:c r="U32" s="34" t="str">
        <x:f>'EBITDA по источникам'!P59</x:f>
        <x:v>н.п.</x:v>
      </x:c>
      <x:c r="V32" s="34" t="str">
        <x:f>'EBITDA по источникам'!Q59</x:f>
        <x:v>н.п.</x:v>
      </x:c>
      <x:c r="W32" s="34" t="str">
        <x:f>'EBITDA по источникам'!R59</x:f>
        <x:v>н.п.</x:v>
      </x:c>
      <x:c r="X32" s="34" t="n">
        <x:f>IF('Финансы 3 года'!S85="","н.д.",'Финансы 3 года'!S85)</x:f>
        <x:v>88391</x:v>
      </x:c>
      <x:c r="Y32" s="34"/>
      <x:c r="Z32" s="34"/>
      <x:c r="AA32" s="35" t="str">
        <x:f>'Финансы 3 года'!T85</x:f>
        <x:v>Алроса_МСФО_2025.pdf</x:v>
      </x:c>
      <x:c r="AB32" s="35" t="str">
        <x:f>'Финансы 3 года'!U85</x:f>
        <x:v>7</x:v>
      </x:c>
    </x:row>
    <x:row r="33">
      <x:c r="A33" s="13" t="n">
        <x:v>28</x:v>
      </x:c>
      <x:c r="B33" s="13" t="str">
        <x:v>ЦИАН</x:v>
      </x:c>
      <x:c r="C33" s="13" t="str">
        <x:v>CNRU</x:v>
      </x:c>
      <x:c r="D33" s="13" t="str">
        <x:v>IT / классифайд</x:v>
      </x:c>
      <x:c r="E33" s="13" t="str">
        <x:v>Есть МСФО</x:v>
      </x:c>
      <x:c r="F33" s="13" t="str">
        <x:v>RUB</x:v>
      </x:c>
      <x:c r="G33" s="34" t="n">
        <x:f>IF('Финансы 3 года'!E88="","н.д.",'Финансы 3 года'!E88)</x:f>
        <x:v>15156</x:v>
      </x:c>
      <x:c r="H33" s="34" t="n">
        <x:f>IF('Финансы 3 года'!F88="","н.д.",'Финансы 3 года'!F88)</x:f>
        <x:v>2862</x:v>
      </x:c>
      <x:c r="I33" s="34" t="str">
        <x:f>'EBITDA по источникам'!D61</x:f>
        <x:v>н.д.</x:v>
      </x:c>
      <x:c r="J33" s="34" t="str">
        <x:f>'EBITDA по источникам'!E61</x:f>
        <x:v>н.д.</x:v>
      </x:c>
      <x:c r="K33" s="34" t="str">
        <x:f>'EBITDA по источникам'!F61</x:f>
        <x:v>н.д.</x:v>
      </x:c>
      <x:c r="L33" s="34" t="n">
        <x:f>'EBITDA по источникам'!G61</x:f>
        <x:v>3570</x:v>
      </x:c>
      <x:c r="M33" s="34" t="n">
        <x:f>'EBITDA по источникам'!H61</x:f>
        <x:v>3570</x:v>
      </x:c>
      <x:c r="N33" s="34" t="n">
        <x:f>'EBITDA по источникам'!I61</x:f>
        <x:v>3570</x:v>
      </x:c>
      <x:c r="O33" s="34" t="str">
        <x:f>'EBITDA по источникам'!J61</x:f>
        <x:v>н.п.</x:v>
      </x:c>
      <x:c r="P33" s="34" t="str">
        <x:f>'EBITDA по источникам'!K61</x:f>
        <x:v>н.п.</x:v>
      </x:c>
      <x:c r="Q33" s="34" t="str">
        <x:f>'EBITDA по источникам'!L61</x:f>
        <x:v>н.п.</x:v>
      </x:c>
      <x:c r="R33" s="34" t="str">
        <x:f>'EBITDA по источникам'!M61</x:f>
        <x:v>н.д.</x:v>
      </x:c>
      <x:c r="S33" s="34" t="str">
        <x:f>'EBITDA по источникам'!N61</x:f>
        <x:v>н.д.</x:v>
      </x:c>
      <x:c r="T33" s="34" t="str">
        <x:f>'EBITDA по источникам'!O61</x:f>
        <x:v>н.д.</x:v>
      </x:c>
      <x:c r="U33" s="34" t="str">
        <x:f>'EBITDA по источникам'!P61</x:f>
        <x:v>н.п.</x:v>
      </x:c>
      <x:c r="V33" s="34" t="str">
        <x:f>'EBITDA по источникам'!Q61</x:f>
        <x:v>н.п.</x:v>
      </x:c>
      <x:c r="W33" s="34" t="str">
        <x:f>'EBITDA по источникам'!R61</x:f>
        <x:v>н.п.</x:v>
      </x:c>
      <x:c r="X33" s="34" t="n">
        <x:f>IF('Финансы 3 года'!S88="","н.д.",'Финансы 3 года'!S88)</x:f>
        <x:v>-6055</x:v>
      </x:c>
      <x:c r="Y33" s="34"/>
      <x:c r="Z33" s="34"/>
      <x:c r="AA33" s="35" t="str">
        <x:f>'Финансы 3 года'!T88</x:f>
        <x:v>Циан_МСФО_2025.pdf</x:v>
      </x:c>
      <x:c r="AB33" s="35" t="str">
        <x:f>'Финансы 3 года'!U88</x:f>
        <x:v>8</x:v>
      </x:c>
    </x:row>
    <x:row r="34">
      <x:c r="A34" s="15" t="n">
        <x:v>29</x:v>
      </x:c>
      <x:c r="B34" s="15" t="str">
        <x:v>АФК Система</x:v>
      </x:c>
      <x:c r="C34" s="15" t="str">
        <x:v>AFKS</x:v>
      </x:c>
      <x:c r="D34" s="15" t="str">
        <x:v>Холдинг</x:v>
      </x:c>
      <x:c r="E34" s="15" t="str">
        <x:v>Есть МСФО</x:v>
      </x:c>
      <x:c r="F34" s="15" t="str">
        <x:v>RUB</x:v>
      </x:c>
      <x:c r="G34" s="38" t="n">
        <x:f>IF('Финансы 3 года'!E91="","н.д.",'Финансы 3 года'!E91)</x:f>
        <x:v>1332474.244</x:v>
      </x:c>
      <x:c r="H34" s="38" t="n">
        <x:f>IF('Финансы 3 года'!F91="","н.д.",'Финансы 3 года'!F91)</x:f>
        <x:v>-232490.086</x:v>
      </x:c>
      <x:c r="I34" s="38" t="str">
        <x:f>'EBITDA по источникам'!D63</x:f>
        <x:v>н.д.</x:v>
      </x:c>
      <x:c r="J34" s="38" t="str">
        <x:f>'EBITDA по источникам'!E63</x:f>
        <x:v>н.д.</x:v>
      </x:c>
      <x:c r="K34" s="38" t="str">
        <x:f>'EBITDA по источникам'!F63</x:f>
        <x:v>н.д.</x:v>
      </x:c>
      <x:c r="L34" s="38" t="str">
        <x:f>'EBITDA по источникам'!G63</x:f>
        <x:v>н.д.</x:v>
      </x:c>
      <x:c r="M34" s="38" t="str">
        <x:f>'EBITDA по источникам'!H63</x:f>
        <x:v>н.д.</x:v>
      </x:c>
      <x:c r="N34" s="38" t="str">
        <x:f>'EBITDA по источникам'!I63</x:f>
        <x:v>н.д.</x:v>
      </x:c>
      <x:c r="O34" s="38" t="str">
        <x:f>'EBITDA по источникам'!J63</x:f>
        <x:v>н.п.</x:v>
      </x:c>
      <x:c r="P34" s="38" t="str">
        <x:f>'EBITDA по источникам'!K63</x:f>
        <x:v>н.п.</x:v>
      </x:c>
      <x:c r="Q34" s="38" t="str">
        <x:f>'EBITDA по источникам'!L63</x:f>
        <x:v>н.п.</x:v>
      </x:c>
      <x:c r="R34" s="38" t="str">
        <x:f>'EBITDA по источникам'!M63</x:f>
        <x:v>н.п.</x:v>
      </x:c>
      <x:c r="S34" s="38" t="str">
        <x:f>'EBITDA по источникам'!N63</x:f>
        <x:v>н.п.</x:v>
      </x:c>
      <x:c r="T34" s="38" t="str">
        <x:f>'EBITDA по источникам'!O63</x:f>
        <x:v>н.п.</x:v>
      </x:c>
      <x:c r="U34" s="38" t="n">
        <x:f>'EBITDA по источникам'!P63</x:f>
        <x:v>306184.702</x:v>
      </x:c>
      <x:c r="V34" s="38" t="n">
        <x:f>'EBITDA по источникам'!Q63</x:f>
        <x:v>306184.702</x:v>
      </x:c>
      <x:c r="W34" s="38" t="str">
        <x:f>'EBITDA по источникам'!R63</x:f>
        <x:v>н.д.</x:v>
      </x:c>
      <x:c r="X34" s="38" t="n">
        <x:f>IF('Финансы 3 года'!S91="","н.д.",'Финансы 3 года'!S91)</x:f>
        <x:v>1328832.536</x:v>
      </x:c>
      <x:c r="Y34" s="38"/>
      <x:c r="Z34" s="38"/>
      <x:c r="AA34" s="39" t="str">
        <x:f>'Финансы 3 года'!T91</x:f>
        <x:v>АФК_Система_МСФО_2025.pdf</x:v>
      </x:c>
      <x:c r="AB34" s="39" t="str">
        <x:f>'Финансы 3 года'!U91</x:f>
        <x:v>8, 9</x:v>
      </x:c>
    </x:row>
  </x:sheetData>
  <x:mergeCells>
    <x:mergeCell ref="A1:AB1"/>
    <x:mergeCell ref="A2:AB2"/>
    <x:mergeCell ref="I4:K4"/>
    <x:mergeCell ref="L4:N4"/>
    <x:mergeCell ref="O4:Q4"/>
    <x:mergeCell ref="R4:T4"/>
    <x:mergeCell ref="U4:W4"/>
    <x:mergeCell ref="A4:A5"/>
    <x:mergeCell ref="B4:B5"/>
    <x:mergeCell ref="C4:C5"/>
    <x:mergeCell ref="D4:D5"/>
    <x:mergeCell ref="E4:E5"/>
    <x:mergeCell ref="F4:F5"/>
    <x:mergeCell ref="G4:G5"/>
    <x:mergeCell ref="H4:H5"/>
    <x:mergeCell ref="X4:X5"/>
    <x:mergeCell ref="Y4:Y5"/>
    <x:mergeCell ref="Z4:Z5"/>
    <x:mergeCell ref="AA4:AA5"/>
    <x:mergeCell ref="AB4:AB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1" hidden="0" customWidth="1"/>
    <x:col min="3" max="3" width="11" hidden="0" customWidth="1"/>
    <x:col min="4" max="4" width="11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43" hidden="0" customWidth="1"/>
    <x:col min="21" max="21" width="20" hidden="0" customWidth="1"/>
    <x:col min="22" max="22" width="20" hidden="0" customWidth="1"/>
  </x:cols>
  <x:sheetData>
    <x:row r="1" ht="27" customHeight="1">
      <x:c r="A1" s="2" t="str">
        <x:v>Финансовые показатели за 2023–2025 годы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 ht="32" customHeight="1">
      <x:c r="A2" s="8" t="str">
        <x:v>Единицы: млн в валюте отчетности. Выручка и чистая прибыль — исключительно из МСФО. Зеленый шрифт — ссылка/формула внутри книги.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</x:row>
    <x:row r="4" ht="48" customHeight="1">
      <x:c r="A4" s="9" t="str">
        <x:v>Компания</x:v>
      </x:c>
      <x:c r="B4" s="9" t="str">
        <x:v>Тикер</x:v>
      </x:c>
      <x:c r="C4" s="9" t="str">
        <x:v>Год</x:v>
      </x:c>
      <x:c r="D4" s="9" t="str">
        <x:v>Валюта</x:v>
      </x:c>
      <x:c r="E4" s="9" t="str">
        <x:v>Выручка (МСФО)</x:v>
      </x:c>
      <x:c r="F4" s="9" t="str">
        <x:v>Чистая прибыль (МСФО)</x:v>
      </x:c>
      <x:c r="G4" s="9" t="str">
        <x:v>EBITDA</x:v>
      </x:c>
      <x:c r="H4" s="9" t="str">
        <x:v>Скорр. EBITDA</x:v>
      </x:c>
      <x:c r="I4" s="9" t="str">
        <x:v>EBITDA до применения МСФО 16</x:v>
      </x:c>
      <x:c r="J4" s="9" t="str">
        <x:v>EBITDAC</x:v>
      </x:c>
      <x:c r="K4" s="9" t="str">
        <x:v>OIBDA</x:v>
      </x:c>
      <x:c r="L4" s="9" t="str">
        <x:v>Операционная прибыль</x:v>
      </x:c>
      <x:c r="M4" s="9" t="str">
        <x:v>Амортизация ОС и НМА</x:v>
      </x:c>
      <x:c r="N4" s="9" t="str">
        <x:v>Амортизация аренды</x:v>
      </x:c>
      <x:c r="O4" s="9" t="str">
        <x:v>Проценты по аренде</x:v>
      </x:c>
      <x:c r="P4" s="9" t="str">
        <x:v>Капитализированные расходы НМА</x:v>
      </x:c>
      <x:c r="Q4" s="9" t="str">
        <x:v>Прочие корректировки</x:v>
      </x:c>
      <x:c r="R4" s="9" t="str">
        <x:v>Расчетная EBITDA-вариант</x:v>
      </x:c>
      <x:c r="S4" s="9" t="str">
        <x:v>Чистый долг</x:v>
      </x:c>
      <x:c r="T4" s="9" t="str">
        <x:v>Источник МСФО</x:v>
      </x:c>
      <x:c r="U4" s="9" t="str">
        <x:v>Страница МСФО</x:v>
      </x:c>
      <x:c r="V4" s="9" t="str">
        <x:v>Статус</x:v>
      </x:c>
    </x:row>
    <x:row r="5">
      <x:c r="A5" s="11" t="str">
        <x:v>ЛУКОЙЛ</x:v>
      </x:c>
      <x:c r="B5" s="11" t="str">
        <x:v>LKOH</x:v>
      </x:c>
      <x:c r="C5" s="11" t="n">
        <x:v>2023</x:v>
      </x:c>
      <x:c r="D5" s="11" t="str">
        <x:v>RUB</x:v>
      </x:c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1" t="str">
        <x:v>н.д.</x:v>
      </x:c>
      <x:c r="U5" s="11" t="str">
        <x:v>н.д.</x:v>
      </x:c>
      <x:c r="V5" s="11" t="str">
        <x:v>Нет исходника</x:v>
      </x:c>
    </x:row>
    <x:row r="6">
      <x:c r="A6" s="13" t="str">
        <x:v>ЛУКОЙЛ</x:v>
      </x:c>
      <x:c r="B6" s="13" t="str">
        <x:v>LKOH</x:v>
      </x:c>
      <x:c r="C6" s="13" t="n">
        <x:v>2024</x:v>
      </x:c>
      <x:c r="D6" s="13" t="str">
        <x:v>RUB</x:v>
      </x:c>
      <x:c r="E6" s="14" t="n">
        <x:v>4420565</x:v>
      </x:c>
      <x:c r="F6" s="14" t="n">
        <x:v>792540</x:v>
      </x:c>
      <x:c r="G6" s="14" t="n">
        <x:v>1390131</x:v>
      </x:c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 t="n">
        <x:v>-1046258</x:v>
      </x:c>
      <x:c r="T6" s="13" t="str">
        <x:v>Лукойл_МСФО_2025.pdf</x:v>
      </x:c>
      <x:c r="U6" s="13" t="str">
        <x:v>7</x:v>
      </x:c>
      <x:c r="V6" s="13" t="str">
        <x:v>Подтверждено</x:v>
      </x:c>
    </x:row>
    <x:row r="7">
      <x:c r="A7" s="13" t="str">
        <x:v>ЛУКОЙЛ</x:v>
      </x:c>
      <x:c r="B7" s="13" t="str">
        <x:v>LKOH</x:v>
      </x:c>
      <x:c r="C7" s="13" t="n">
        <x:v>2025</x:v>
      </x:c>
      <x:c r="D7" s="13" t="str">
        <x:v>RUB</x:v>
      </x:c>
      <x:c r="E7" s="14" t="n">
        <x:v>3767768</x:v>
      </x:c>
      <x:c r="F7" s="14" t="n">
        <x:v>92528</x:v>
      </x:c>
      <x:c r="G7" s="14" t="n">
        <x:v>892086</x:v>
      </x:c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 t="n">
        <x:v>-225803</x:v>
      </x:c>
      <x:c r="T7" s="13" t="str">
        <x:v>Лукойл_МСФО_2025.pdf</x:v>
      </x:c>
      <x:c r="U7" s="13" t="str">
        <x:v>7</x:v>
      </x:c>
      <x:c r="V7" s="13" t="str">
        <x:v>Подтверждено</x:v>
      </x:c>
    </x:row>
    <x:row r="8">
      <x:c r="A8" s="13" t="str">
        <x:v>ГАЗПРОМ</x:v>
      </x:c>
      <x:c r="B8" s="13" t="str">
        <x:v>GAZP</x:v>
      </x:c>
      <x:c r="C8" s="13" t="n">
        <x:v>2023</x:v>
      </x:c>
      <x:c r="D8" s="13" t="str">
        <x:v>RUB</x:v>
      </x:c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3" t="str">
        <x:v>н.д.</x:v>
      </x:c>
      <x:c r="U8" s="13" t="str">
        <x:v>н.д.</x:v>
      </x:c>
      <x:c r="V8" s="13" t="str">
        <x:v>Нет исходника</x:v>
      </x:c>
    </x:row>
    <x:row r="9">
      <x:c r="A9" s="13" t="str">
        <x:v>ГАЗПРОМ</x:v>
      </x:c>
      <x:c r="B9" s="13" t="str">
        <x:v>GAZP</x:v>
      </x:c>
      <x:c r="C9" s="13" t="n">
        <x:v>2024</x:v>
      </x:c>
      <x:c r="D9" s="13" t="str">
        <x:v>RUB</x:v>
      </x:c>
      <x:c r="E9" s="14" t="n">
        <x:v>10714686</x:v>
      </x:c>
      <x:c r="F9" s="14" t="n">
        <x:v>1218543</x:v>
      </x:c>
      <x:c r="G9" s="14" t="n">
        <x:v>3107875</x:v>
      </x:c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 t="n">
        <x:v>5722921</x:v>
      </x:c>
      <x:c r="T9" s="13" t="str">
        <x:v>МСФО_Газпром_2025.pdf</x:v>
      </x:c>
      <x:c r="U9" s="13" t="str">
        <x:v>10</x:v>
      </x:c>
      <x:c r="V9" s="13" t="str">
        <x:v>Подтверждено</x:v>
      </x:c>
    </x:row>
    <x:row r="10">
      <x:c r="A10" s="13" t="str">
        <x:v>ГАЗПРОМ</x:v>
      </x:c>
      <x:c r="B10" s="13" t="str">
        <x:v>GAZP</x:v>
      </x:c>
      <x:c r="C10" s="13" t="n">
        <x:v>2025</x:v>
      </x:c>
      <x:c r="D10" s="13" t="str">
        <x:v>RUB</x:v>
      </x:c>
      <x:c r="E10" s="14" t="n">
        <x:v>9770671</x:v>
      </x:c>
      <x:c r="F10" s="14" t="n">
        <x:v>1306777</x:v>
      </x:c>
      <x:c r="G10" s="14" t="n">
        <x:v>2917332</x:v>
      </x:c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 t="n">
        <x:v>2917332</x:v>
      </x:c>
      <x:c r="S10" s="14" t="n">
        <x:v>6104462</x:v>
      </x:c>
      <x:c r="T10" s="13" t="str">
        <x:v>МСФО_Газпром_2025.pdf</x:v>
      </x:c>
      <x:c r="U10" s="13" t="str">
        <x:v>10</x:v>
      </x:c>
      <x:c r="V10" s="13" t="str">
        <x:v>Подтверждено</x:v>
      </x:c>
    </x:row>
    <x:row r="11">
      <x:c r="A11" s="13" t="str">
        <x:v>ЯНДЕКС</x:v>
      </x:c>
      <x:c r="B11" s="13" t="str">
        <x:v>YDEX</x:v>
      </x:c>
      <x:c r="C11" s="13" t="n">
        <x:v>2023</x:v>
      </x:c>
      <x:c r="D11" s="13" t="str">
        <x:v>RUB</x:v>
      </x:c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3" t="str">
        <x:v>н.д.</x:v>
      </x:c>
      <x:c r="U11" s="13" t="str">
        <x:v>н.д.</x:v>
      </x:c>
      <x:c r="V11" s="13" t="str">
        <x:v>Нет исходника</x:v>
      </x:c>
    </x:row>
    <x:row r="12">
      <x:c r="A12" s="13" t="str">
        <x:v>ЯНДЕКС</x:v>
      </x:c>
      <x:c r="B12" s="13" t="str">
        <x:v>YDEX</x:v>
      </x:c>
      <x:c r="C12" s="13" t="n">
        <x:v>2024</x:v>
      </x:c>
      <x:c r="D12" s="13" t="str">
        <x:v>RUB</x:v>
      </x:c>
      <x:c r="E12" s="14" t="n">
        <x:v>1094560</x:v>
      </x:c>
      <x:c r="F12" s="14" t="n">
        <x:v>11468</x:v>
      </x:c>
      <x:c r="G12" s="14"/>
      <x:c r="H12" s="14" t="n">
        <x:v>188601</x:v>
      </x:c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 t="n">
        <x:v>81899</x:v>
      </x:c>
      <x:c r="T12" s="13" t="str">
        <x:v>МСФО_Яндекс_2025.pdf</x:v>
      </x:c>
      <x:c r="U12" s="13" t="str">
        <x:v>8, 9</x:v>
      </x:c>
      <x:c r="V12" s="13" t="str">
        <x:v>Подтверждено</x:v>
      </x:c>
    </x:row>
    <x:row r="13">
      <x:c r="A13" s="13" t="str">
        <x:v>ЯНДЕКС</x:v>
      </x:c>
      <x:c r="B13" s="13" t="str">
        <x:v>YDEX</x:v>
      </x:c>
      <x:c r="C13" s="13" t="n">
        <x:v>2025</x:v>
      </x:c>
      <x:c r="D13" s="13" t="str">
        <x:v>RUB</x:v>
      </x:c>
      <x:c r="E13" s="14" t="n">
        <x:v>1441098</x:v>
      </x:c>
      <x:c r="F13" s="14" t="n">
        <x:v>79579</x:v>
      </x:c>
      <x:c r="G13" s="14"/>
      <x:c r="H13" s="14" t="n">
        <x:v>280834</x:v>
      </x:c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 t="n">
        <x:v>47705</x:v>
      </x:c>
      <x:c r="T13" s="13" t="str">
        <x:v>МСФО_Яндекс_2025.pdf</x:v>
      </x:c>
      <x:c r="U13" s="13" t="str">
        <x:v>8, 9</x:v>
      </x:c>
      <x:c r="V13" s="13" t="str">
        <x:v>Подтверждено</x:v>
      </x:c>
    </x:row>
    <x:row r="14">
      <x:c r="A14" s="13" t="str">
        <x:v>Т-Технологии</x:v>
      </x:c>
      <x:c r="B14" s="13" t="str">
        <x:v>T</x:v>
      </x:c>
      <x:c r="C14" s="13" t="n">
        <x:v>2023</x:v>
      </x:c>
      <x:c r="D14" s="13" t="str">
        <x:v>RUB</x:v>
      </x:c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3" t="str">
        <x:v>н.д.</x:v>
      </x:c>
      <x:c r="U14" s="13" t="str">
        <x:v>н.д.</x:v>
      </x:c>
      <x:c r="V14" s="13" t="str">
        <x:v>Нет исходника</x:v>
      </x:c>
    </x:row>
    <x:row r="15">
      <x:c r="A15" s="13" t="str">
        <x:v>Т-Технологии</x:v>
      </x:c>
      <x:c r="B15" s="13" t="str">
        <x:v>T</x:v>
      </x:c>
      <x:c r="C15" s="13" t="n">
        <x:v>2024</x:v>
      </x:c>
      <x:c r="D15" s="13" t="str">
        <x:v>RUB</x:v>
      </x:c>
      <x:c r="E15" s="14" t="n">
        <x:v>962114</x:v>
      </x:c>
      <x:c r="F15" s="14" t="n">
        <x:v>122238</x:v>
      </x:c>
      <x:c r="G15" s="14"/>
      <x:c r="H15" s="14"/>
      <x:c r="I15" s="14"/>
      <x:c r="J15" s="14"/>
      <x:c r="K15" s="14" t="n">
        <x:v>178426</x:v>
      </x:c>
      <x:c r="L15" s="14"/>
      <x:c r="M15" s="14"/>
      <x:c r="N15" s="14"/>
      <x:c r="O15" s="14"/>
      <x:c r="P15" s="14"/>
      <x:c r="Q15" s="14"/>
      <x:c r="R15" s="14"/>
      <x:c r="S15" s="14" t="n">
        <x:v>-1252712</x:v>
      </x:c>
      <x:c r="T15" s="13" t="str">
        <x:v>Т-Технологии_МСФО_2025.pdf</x:v>
      </x:c>
      <x:c r="U15" s="13" t="str">
        <x:v>9, 10</x:v>
      </x:c>
      <x:c r="V15" s="13" t="str">
        <x:v>Подтверждено</x:v>
      </x:c>
    </x:row>
    <x:row r="16">
      <x:c r="A16" s="13" t="str">
        <x:v>Т-Технологии</x:v>
      </x:c>
      <x:c r="B16" s="13" t="str">
        <x:v>T</x:v>
      </x:c>
      <x:c r="C16" s="13" t="n">
        <x:v>2025</x:v>
      </x:c>
      <x:c r="D16" s="13" t="str">
        <x:v>RUB</x:v>
      </x:c>
      <x:c r="E16" s="14" t="n">
        <x:v>1434494</x:v>
      </x:c>
      <x:c r="F16" s="14" t="n">
        <x:v>192414</x:v>
      </x:c>
      <x:c r="G16" s="14"/>
      <x:c r="H16" s="14"/>
      <x:c r="I16" s="14"/>
      <x:c r="J16" s="14"/>
      <x:c r="K16" s="14" t="n">
        <x:v>295253</x:v>
      </x:c>
      <x:c r="L16" s="14"/>
      <x:c r="M16" s="14"/>
      <x:c r="N16" s="14"/>
      <x:c r="O16" s="14"/>
      <x:c r="P16" s="14"/>
      <x:c r="Q16" s="14"/>
      <x:c r="R16" s="14"/>
      <x:c r="S16" s="14" t="n">
        <x:v>-817789</x:v>
      </x:c>
      <x:c r="T16" s="13" t="str">
        <x:v>Т-Технологии_МСФО_2025.pdf</x:v>
      </x:c>
      <x:c r="U16" s="13" t="str">
        <x:v>9, 10</x:v>
      </x:c>
      <x:c r="V16" s="13" t="str">
        <x:v>Подтверждено</x:v>
      </x:c>
    </x:row>
    <x:row r="17">
      <x:c r="A17" s="13" t="str">
        <x:v>Татнефть</x:v>
      </x:c>
      <x:c r="B17" s="13" t="str">
        <x:v>TATN</x:v>
      </x:c>
      <x:c r="C17" s="13" t="n">
        <x:v>2023</x:v>
      </x:c>
      <x:c r="D17" s="13" t="str">
        <x:v>RUB</x:v>
      </x:c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3" t="str">
        <x:v>н.д.</x:v>
      </x:c>
      <x:c r="U17" s="13" t="str">
        <x:v>н.д.</x:v>
      </x:c>
      <x:c r="V17" s="13" t="str">
        <x:v>Нет исходника</x:v>
      </x:c>
    </x:row>
    <x:row r="18">
      <x:c r="A18" s="13" t="str">
        <x:v>Татнефть</x:v>
      </x:c>
      <x:c r="B18" s="13" t="str">
        <x:v>TATN</x:v>
      </x:c>
      <x:c r="C18" s="13" t="n">
        <x:v>2024</x:v>
      </x:c>
      <x:c r="D18" s="13" t="str">
        <x:v>RUB</x:v>
      </x:c>
      <x:c r="E18" s="14" t="n">
        <x:v>2030371</x:v>
      </x:c>
      <x:c r="F18" s="14" t="n">
        <x:v>306140</x:v>
      </x:c>
      <x:c r="G18" s="14" t="n">
        <x:v>478372</x:v>
      </x:c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 t="n">
        <x:v>-104171</x:v>
      </x:c>
      <x:c r="T18" s="13" t="str">
        <x:v>Татнефть_МСФО_2025.pdf</x:v>
      </x:c>
      <x:c r="U18" s="13" t="str">
        <x:v>8, 9</x:v>
      </x:c>
      <x:c r="V18" s="13" t="str">
        <x:v>Подтверждено</x:v>
      </x:c>
    </x:row>
    <x:row r="19">
      <x:c r="A19" s="13" t="str">
        <x:v>Татнефть</x:v>
      </x:c>
      <x:c r="B19" s="13" t="str">
        <x:v>TATN</x:v>
      </x:c>
      <x:c r="C19" s="13" t="n">
        <x:v>2025</x:v>
      </x:c>
      <x:c r="D19" s="13" t="str">
        <x:v>RUB</x:v>
      </x:c>
      <x:c r="E19" s="14" t="n">
        <x:v>1818134</x:v>
      </x:c>
      <x:c r="F19" s="14" t="n">
        <x:v>158623</x:v>
      </x:c>
      <x:c r="G19" s="14" t="n">
        <x:v>332877</x:v>
      </x:c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 t="n">
        <x:v>-31993</x:v>
      </x:c>
      <x:c r="T19" s="13" t="str">
        <x:v>Татнефть_МСФО_2025.pdf</x:v>
      </x:c>
      <x:c r="U19" s="13" t="str">
        <x:v>8, 9</x:v>
      </x:c>
      <x:c r="V19" s="13" t="str">
        <x:v>Подтверждено</x:v>
      </x:c>
    </x:row>
    <x:row r="20">
      <x:c r="A20" s="13" t="str">
        <x:v>Новатэк</x:v>
      </x:c>
      <x:c r="B20" s="13" t="str">
        <x:v>NVTK</x:v>
      </x:c>
      <x:c r="C20" s="13" t="n">
        <x:v>2023</x:v>
      </x:c>
      <x:c r="D20" s="13" t="str">
        <x:v>RUB</x:v>
      </x:c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3" t="str">
        <x:v>н.д.</x:v>
      </x:c>
      <x:c r="U20" s="13" t="str">
        <x:v>н.д.</x:v>
      </x:c>
      <x:c r="V20" s="13" t="str">
        <x:v>Нет исходника</x:v>
      </x:c>
    </x:row>
    <x:row r="21">
      <x:c r="A21" s="13" t="str">
        <x:v>Новатэк</x:v>
      </x:c>
      <x:c r="B21" s="13" t="str">
        <x:v>NVTK</x:v>
      </x:c>
      <x:c r="C21" s="13" t="n">
        <x:v>2024</x:v>
      </x:c>
      <x:c r="D21" s="13" t="str">
        <x:v>RUB</x:v>
      </x:c>
      <x:c r="E21" s="14" t="n">
        <x:v>1545851</x:v>
      </x:c>
      <x:c r="F21" s="14" t="n">
        <x:v>493491</x:v>
      </x:c>
      <x:c r="G21" s="14"/>
      <x:c r="H21" s="14" t="n">
        <x:v>1007614</x:v>
      </x:c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 t="n">
        <x:v>141607</x:v>
      </x:c>
      <x:c r="T21" s="13" t="str">
        <x:v>Novatek FS 12m2025 RUS (disclosable).pdf</x:v>
      </x:c>
      <x:c r="U21" s="13" t="str">
        <x:v>8, 9</x:v>
      </x:c>
      <x:c r="V21" s="13" t="str">
        <x:v>Подтверждено</x:v>
      </x:c>
    </x:row>
    <x:row r="22">
      <x:c r="A22" s="13" t="str">
        <x:v>Новатэк</x:v>
      </x:c>
      <x:c r="B22" s="13" t="str">
        <x:v>NVTK</x:v>
      </x:c>
      <x:c r="C22" s="13" t="n">
        <x:v>2025</x:v>
      </x:c>
      <x:c r="D22" s="13" t="str">
        <x:v>RUB</x:v>
      </x:c>
      <x:c r="E22" s="14" t="n">
        <x:v>1445593</x:v>
      </x:c>
      <x:c r="F22" s="14" t="n">
        <x:v>183027</x:v>
      </x:c>
      <x:c r="G22" s="14"/>
      <x:c r="H22" s="14" t="n">
        <x:v>859306</x:v>
      </x:c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 t="n">
        <x:v>-39270</x:v>
      </x:c>
      <x:c r="T22" s="13" t="str">
        <x:v>Novatek FS 12m2025 RUS (disclosable).pdf</x:v>
      </x:c>
      <x:c r="U22" s="13" t="str">
        <x:v>8, 9</x:v>
      </x:c>
      <x:c r="V22" s="13" t="str">
        <x:v>Подтверждено</x:v>
      </x:c>
    </x:row>
    <x:row r="23">
      <x:c r="A23" s="17" t="str">
        <x:v>Норникель</x:v>
      </x:c>
      <x:c r="B23" s="17" t="str">
        <x:v>GMKN</x:v>
      </x:c>
      <x:c r="C23" s="17" t="n">
        <x:v>2023</x:v>
      </x:c>
      <x:c r="D23" s="17" t="str">
        <x:v>USD</x:v>
      </x:c>
      <x:c r="E23" s="18" t="n">
        <x:v>14409</x:v>
      </x:c>
      <x:c r="F23" s="18" t="n">
        <x:v>2384</x:v>
      </x:c>
      <x:c r="G23" s="18" t="n">
        <x:v>6884</x:v>
      </x:c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7" t="str">
        <x:v>Норникель_МСФО_2025.pdf</x:v>
      </x:c>
      <x:c r="U23" s="17" t="str">
        <x:v>6</x:v>
      </x:c>
      <x:c r="V23" s="17" t="str">
        <x:v>Подтверждено</x:v>
      </x:c>
    </x:row>
    <x:row r="24">
      <x:c r="A24" s="17" t="str">
        <x:v>Норникель</x:v>
      </x:c>
      <x:c r="B24" s="17" t="str">
        <x:v>GMKN</x:v>
      </x:c>
      <x:c r="C24" s="17" t="n">
        <x:v>2024</x:v>
      </x:c>
      <x:c r="D24" s="17" t="str">
        <x:v>USD</x:v>
      </x:c>
      <x:c r="E24" s="18" t="n">
        <x:v>12535</x:v>
      </x:c>
      <x:c r="F24" s="18" t="n">
        <x:v>1313</x:v>
      </x:c>
      <x:c r="G24" s="18" t="n">
        <x:v>5196</x:v>
      </x:c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7" t="str">
        <x:v>Норникель_МСФО_2025.pdf</x:v>
      </x:c>
      <x:c r="U24" s="17" t="str">
        <x:v>6</x:v>
      </x:c>
      <x:c r="V24" s="17" t="str">
        <x:v>Подтверждено</x:v>
      </x:c>
    </x:row>
    <x:row r="25">
      <x:c r="A25" s="17" t="str">
        <x:v>Норникель</x:v>
      </x:c>
      <x:c r="B25" s="17" t="str">
        <x:v>GMKN</x:v>
      </x:c>
      <x:c r="C25" s="17" t="n">
        <x:v>2025</x:v>
      </x:c>
      <x:c r="D25" s="17" t="str">
        <x:v>USD</x:v>
      </x:c>
      <x:c r="E25" s="18" t="n">
        <x:v>13763</x:v>
      </x:c>
      <x:c r="F25" s="18" t="n">
        <x:v>1947</x:v>
      </x:c>
      <x:c r="G25" s="18" t="n">
        <x:v>5668</x:v>
      </x:c>
      <x:c r="H25" s="18"/>
      <x:c r="I25" s="18"/>
      <x:c r="J25" s="18"/>
      <x:c r="K25" s="18"/>
      <x:c r="L25" s="18"/>
      <x:c r="M25" s="18"/>
      <x:c r="N25" s="18"/>
      <x:c r="O25" s="18"/>
      <x:c r="P25" s="18"/>
      <x:c r="Q25" s="18"/>
      <x:c r="R25" s="18" t="n">
        <x:v>5668</x:v>
      </x:c>
      <x:c r="S25" s="18"/>
      <x:c r="T25" s="17" t="str">
        <x:v>Норникель_МСФО_2025.pdf</x:v>
      </x:c>
      <x:c r="U25" s="17" t="str">
        <x:v>6</x:v>
      </x:c>
      <x:c r="V25" s="17" t="str">
        <x:v>Подтверждено</x:v>
      </x:c>
    </x:row>
    <x:row r="26">
      <x:c r="A26" s="13" t="str">
        <x:v>Озон</x:v>
      </x:c>
      <x:c r="B26" s="13" t="str">
        <x:v>OZON</x:v>
      </x:c>
      <x:c r="C26" s="13" t="n">
        <x:v>2023</x:v>
      </x:c>
      <x:c r="D26" s="13" t="str">
        <x:v>RUB</x:v>
      </x:c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3" t="str">
        <x:v>н.д.</x:v>
      </x:c>
      <x:c r="U26" s="13" t="str">
        <x:v>н.д.</x:v>
      </x:c>
      <x:c r="V26" s="13" t="str">
        <x:v>Нет исходника</x:v>
      </x:c>
    </x:row>
    <x:row r="27">
      <x:c r="A27" s="13" t="str">
        <x:v>Озон</x:v>
      </x:c>
      <x:c r="B27" s="13" t="str">
        <x:v>OZON</x:v>
      </x:c>
      <x:c r="C27" s="13" t="n">
        <x:v>2024</x:v>
      </x:c>
      <x:c r="D27" s="13" t="str">
        <x:v>RUB</x:v>
      </x:c>
      <x:c r="E27" s="14" t="n">
        <x:v>613324</x:v>
      </x:c>
      <x:c r="F27" s="14" t="n">
        <x:v>-59442</x:v>
      </x:c>
      <x:c r="G27" s="14"/>
      <x:c r="H27" s="14" t="n">
        <x:v>40079</x:v>
      </x:c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 t="n">
        <x:v>61544</x:v>
      </x:c>
      <x:c r="T27" s="13" t="str">
        <x:v>Озон_МСФО_2025.pdf</x:v>
      </x:c>
      <x:c r="U27" s="13" t="str">
        <x:v>7</x:v>
      </x:c>
      <x:c r="V27" s="13" t="str">
        <x:v>Подтверждено</x:v>
      </x:c>
    </x:row>
    <x:row r="28">
      <x:c r="A28" s="13" t="str">
        <x:v>Озон</x:v>
      </x:c>
      <x:c r="B28" s="13" t="str">
        <x:v>OZON</x:v>
      </x:c>
      <x:c r="C28" s="13" t="n">
        <x:v>2025</x:v>
      </x:c>
      <x:c r="D28" s="13" t="str">
        <x:v>RUB</x:v>
      </x:c>
      <x:c r="E28" s="14" t="n">
        <x:v>997989</x:v>
      </x:c>
      <x:c r="F28" s="14" t="n">
        <x:v>-938</x:v>
      </x:c>
      <x:c r="G28" s="14"/>
      <x:c r="H28" s="14" t="n">
        <x:v>156381</x:v>
      </x:c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 t="n">
        <x:v>-135937</x:v>
      </x:c>
      <x:c r="T28" s="13" t="str">
        <x:v>Озон_МСФО_2025.pdf</x:v>
      </x:c>
      <x:c r="U28" s="13" t="str">
        <x:v>7</x:v>
      </x:c>
      <x:c r="V28" s="13" t="str">
        <x:v>Подтверждено</x:v>
      </x:c>
    </x:row>
    <x:row r="29">
      <x:c r="A29" s="13" t="str">
        <x:v>X5</x:v>
      </x:c>
      <x:c r="B29" s="13" t="str">
        <x:v>X5</x:v>
      </x:c>
      <x:c r="C29" s="13" t="n">
        <x:v>2023</x:v>
      </x:c>
      <x:c r="D29" s="13" t="str">
        <x:v>RUB</x:v>
      </x:c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3" t="str">
        <x:v>н.д.</x:v>
      </x:c>
      <x:c r="U29" s="13" t="str">
        <x:v>н.д.</x:v>
      </x:c>
      <x:c r="V29" s="13" t="str">
        <x:v>Нет исходника</x:v>
      </x:c>
    </x:row>
    <x:row r="30">
      <x:c r="A30" s="13" t="str">
        <x:v>X5</x:v>
      </x:c>
      <x:c r="B30" s="13" t="str">
        <x:v>X5</x:v>
      </x:c>
      <x:c r="C30" s="13" t="n">
        <x:v>2024</x:v>
      </x:c>
      <x:c r="D30" s="13" t="str">
        <x:v>RUB</x:v>
      </x:c>
      <x:c r="E30" s="14" t="n">
        <x:v>3908047</x:v>
      </x:c>
      <x:c r="F30" s="14" t="n">
        <x:v>104064</x:v>
      </x:c>
      <x:c r="G30" s="14"/>
      <x:c r="H30" s="14"/>
      <x:c r="I30" s="14" t="n">
        <x:v>399390</x:v>
      </x:c>
      <x:c r="J30" s="14"/>
      <x:c r="K30" s="14"/>
      <x:c r="L30" s="14"/>
      <x:c r="M30" s="14"/>
      <x:c r="N30" s="14"/>
      <x:c r="O30" s="14"/>
      <x:c r="P30" s="14"/>
      <x:c r="Q30" s="14"/>
      <x:c r="R30" s="14"/>
      <x:c r="S30" s="14" t="n">
        <x:v>887762</x:v>
      </x:c>
      <x:c r="T30" s="13" t="str">
        <x:v>КЦ_Икс_5_МСФО_2025.pdf</x:v>
      </x:c>
      <x:c r="U30" s="13" t="str">
        <x:v>10</x:v>
      </x:c>
      <x:c r="V30" s="13" t="str">
        <x:v>Подтверждено</x:v>
      </x:c>
    </x:row>
    <x:row r="31">
      <x:c r="A31" s="13" t="str">
        <x:v>X5</x:v>
      </x:c>
      <x:c r="B31" s="13" t="str">
        <x:v>X5</x:v>
      </x:c>
      <x:c r="C31" s="13" t="n">
        <x:v>2025</x:v>
      </x:c>
      <x:c r="D31" s="13" t="str">
        <x:v>RUB</x:v>
      </x:c>
      <x:c r="E31" s="14" t="n">
        <x:v>4642034</x:v>
      </x:c>
      <x:c r="F31" s="14" t="n">
        <x:v>83139</x:v>
      </x:c>
      <x:c r="G31" s="14"/>
      <x:c r="H31" s="14"/>
      <x:c r="I31" s="14" t="n">
        <x:v>440676</x:v>
      </x:c>
      <x:c r="J31" s="14"/>
      <x:c r="K31" s="14"/>
      <x:c r="L31" s="14"/>
      <x:c r="M31" s="14"/>
      <x:c r="N31" s="14"/>
      <x:c r="O31" s="14"/>
      <x:c r="P31" s="14"/>
      <x:c r="Q31" s="14"/>
      <x:c r="R31" s="14"/>
      <x:c r="S31" s="14" t="n">
        <x:v>938745</x:v>
      </x:c>
      <x:c r="T31" s="13" t="str">
        <x:v>КЦ_Икс_5_МСФО_2025.pdf</x:v>
      </x:c>
      <x:c r="U31" s="13" t="str">
        <x:v>10</x:v>
      </x:c>
      <x:c r="V31" s="13" t="str">
        <x:v>Подтверждено</x:v>
      </x:c>
    </x:row>
    <x:row r="32">
      <x:c r="A32" s="13" t="str">
        <x:v>Роснефть</x:v>
      </x:c>
      <x:c r="B32" s="13" t="str">
        <x:v>ROSN</x:v>
      </x:c>
      <x:c r="C32" s="13" t="n">
        <x:v>2023</x:v>
      </x:c>
      <x:c r="D32" s="13" t="str">
        <x:v>RUB</x:v>
      </x:c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3" t="str">
        <x:v>н.д.</x:v>
      </x:c>
      <x:c r="U32" s="13" t="str">
        <x:v>н.д.</x:v>
      </x:c>
      <x:c r="V32" s="13" t="str">
        <x:v>Нет исходника</x:v>
      </x:c>
    </x:row>
    <x:row r="33">
      <x:c r="A33" s="13" t="str">
        <x:v>Роснефть</x:v>
      </x:c>
      <x:c r="B33" s="13" t="str">
        <x:v>ROSN</x:v>
      </x:c>
      <x:c r="C33" s="13" t="n">
        <x:v>2024</x:v>
      </x:c>
      <x:c r="D33" s="13" t="str">
        <x:v>RUB</x:v>
      </x:c>
      <x:c r="E33" s="14" t="n">
        <x:v>10139000</x:v>
      </x:c>
      <x:c r="F33" s="14" t="n">
        <x:v>1084000</x:v>
      </x:c>
      <x:c r="G33" s="14" t="n">
        <x:v>3029000</x:v>
      </x:c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3" t="str">
        <x:v>Роснефть_МСФО_2025.pdf</x:v>
      </x:c>
      <x:c r="U33" s="13" t="str">
        <x:v>6</x:v>
      </x:c>
      <x:c r="V33" s="13" t="str">
        <x:v>Подтверждено</x:v>
      </x:c>
    </x:row>
    <x:row r="34">
      <x:c r="A34" s="13" t="str">
        <x:v>Роснефть</x:v>
      </x:c>
      <x:c r="B34" s="13" t="str">
        <x:v>ROSN</x:v>
      </x:c>
      <x:c r="C34" s="13" t="n">
        <x:v>2025</x:v>
      </x:c>
      <x:c r="D34" s="13" t="str">
        <x:v>RUB</x:v>
      </x:c>
      <x:c r="E34" s="14" t="n">
        <x:v>8236000</x:v>
      </x:c>
      <x:c r="F34" s="14" t="n">
        <x:v>293000</x:v>
      </x:c>
      <x:c r="G34" s="14" t="n">
        <x:v>2173000</x:v>
      </x:c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3" t="str">
        <x:v>Роснефть_МСФО_2025.pdf</x:v>
      </x:c>
      <x:c r="U34" s="13" t="str">
        <x:v>6</x:v>
      </x:c>
      <x:c r="V34" s="13" t="str">
        <x:v>Подтверждено</x:v>
      </x:c>
    </x:row>
    <x:row r="35">
      <x:c r="A35" s="13" t="str">
        <x:v>Полюс</x:v>
      </x:c>
      <x:c r="B35" s="13" t="str">
        <x:v>PLZL</x:v>
      </x:c>
      <x:c r="C35" s="13" t="n">
        <x:v>2023</x:v>
      </x:c>
      <x:c r="D35" s="13" t="str">
        <x:v>RUB</x:v>
      </x:c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3" t="str">
        <x:v>н.д.</x:v>
      </x:c>
      <x:c r="U35" s="13" t="str">
        <x:v>н.д.</x:v>
      </x:c>
      <x:c r="V35" s="13" t="str">
        <x:v>Нет исходника</x:v>
      </x:c>
    </x:row>
    <x:row r="36">
      <x:c r="A36" s="13" t="str">
        <x:v>Полюс</x:v>
      </x:c>
      <x:c r="B36" s="13" t="str">
        <x:v>PLZL</x:v>
      </x:c>
      <x:c r="C36" s="13" t="n">
        <x:v>2024</x:v>
      </x:c>
      <x:c r="D36" s="13" t="str">
        <x:v>RUB</x:v>
      </x:c>
      <x:c r="E36" s="14" t="n">
        <x:v>694768</x:v>
      </x:c>
      <x:c r="F36" s="14" t="n">
        <x:v>305538</x:v>
      </x:c>
      <x:c r="G36" s="14" t="n">
        <x:v>538690</x:v>
      </x:c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 t="n">
        <x:v>633648</x:v>
      </x:c>
      <x:c r="T36" s="13" t="str">
        <x:v>Полюс_МСФО_2025.pdf</x:v>
      </x:c>
      <x:c r="U36" s="13" t="str">
        <x:v>9, 10</x:v>
      </x:c>
      <x:c r="V36" s="13" t="str">
        <x:v>Подтверждено</x:v>
      </x:c>
    </x:row>
    <x:row r="37">
      <x:c r="A37" s="13" t="str">
        <x:v>Полюс</x:v>
      </x:c>
      <x:c r="B37" s="13" t="str">
        <x:v>PLZL</x:v>
      </x:c>
      <x:c r="C37" s="13" t="n">
        <x:v>2025</x:v>
      </x:c>
      <x:c r="D37" s="13" t="str">
        <x:v>RUB</x:v>
      </x:c>
      <x:c r="E37" s="14" t="n">
        <x:v>712773</x:v>
      </x:c>
      <x:c r="F37" s="14" t="n">
        <x:v>314142</x:v>
      </x:c>
      <x:c r="G37" s="14" t="n">
        <x:v>517793</x:v>
      </x:c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 t="n">
        <x:v>555322</x:v>
      </x:c>
      <x:c r="T37" s="13" t="str">
        <x:v>Полюс_МСФО_2025.pdf</x:v>
      </x:c>
      <x:c r="U37" s="13" t="str">
        <x:v>9, 10</x:v>
      </x:c>
      <x:c r="V37" s="13" t="str">
        <x:v>Подтверждено</x:v>
      </x:c>
    </x:row>
    <x:row r="38">
      <x:c r="A38" s="13" t="str">
        <x:v>HeadHunter</x:v>
      </x:c>
      <x:c r="B38" s="13" t="str">
        <x:v>HEAD</x:v>
      </x:c>
      <x:c r="C38" s="13" t="n">
        <x:v>2023</x:v>
      </x:c>
      <x:c r="D38" s="13" t="str">
        <x:v>RUB</x:v>
      </x:c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3" t="str">
        <x:v>н.д.</x:v>
      </x:c>
      <x:c r="U38" s="13" t="str">
        <x:v>н.д.</x:v>
      </x:c>
      <x:c r="V38" s="13" t="str">
        <x:v>Нет исходника</x:v>
      </x:c>
    </x:row>
    <x:row r="39">
      <x:c r="A39" s="13" t="str">
        <x:v>HeadHunter</x:v>
      </x:c>
      <x:c r="B39" s="13" t="str">
        <x:v>HEAD</x:v>
      </x:c>
      <x:c r="C39" s="13" t="n">
        <x:v>2024</x:v>
      </x:c>
      <x:c r="D39" s="13" t="str">
        <x:v>RUB</x:v>
      </x:c>
      <x:c r="E39" s="14" t="n">
        <x:v>39618.86</x:v>
      </x:c>
      <x:c r="F39" s="14" t="n">
        <x:v>23881.807</x:v>
      </x:c>
      <x:c r="G39" s="14" t="n">
        <x:v>23055.408</x:v>
      </x:c>
      <x:c r="H39" s="14" t="n">
        <x:v>23229.459</x:v>
      </x:c>
      <x:c r="I39" s="14"/>
      <x:c r="J39" s="14"/>
      <x:c r="K39" s="14"/>
      <x:c r="L39" s="14"/>
      <x:c r="M39" s="14"/>
      <x:c r="N39" s="14"/>
      <x:c r="O39" s="14"/>
      <x:c r="P39" s="14"/>
      <x:c r="Q39" s="14"/>
      <x:c r="R39" s="14" t="n">
        <x:v>23229.459</x:v>
      </x:c>
      <x:c r="S39" s="14" t="n">
        <x:v>-4033.405</x:v>
      </x:c>
      <x:c r="T39" s="13" t="str">
        <x:v>ХХ_МСФО_2025.pdf</x:v>
      </x:c>
      <x:c r="U39" s="13" t="str">
        <x:v>9</x:v>
      </x:c>
      <x:c r="V39" s="13" t="str">
        <x:v>Подтверждено</x:v>
      </x:c>
    </x:row>
    <x:row r="40">
      <x:c r="A40" s="13" t="str">
        <x:v>HeadHunter</x:v>
      </x:c>
      <x:c r="B40" s="13" t="str">
        <x:v>HEAD</x:v>
      </x:c>
      <x:c r="C40" s="13" t="n">
        <x:v>2025</x:v>
      </x:c>
      <x:c r="D40" s="13" t="str">
        <x:v>RUB</x:v>
      </x:c>
      <x:c r="E40" s="14" t="n">
        <x:v>41203.402</x:v>
      </x:c>
      <x:c r="F40" s="14" t="n">
        <x:v>17989.497</x:v>
      </x:c>
      <x:c r="G40" s="14" t="n">
        <x:v>20348.17</x:v>
      </x:c>
      <x:c r="H40" s="14" t="n">
        <x:v>22761.895</x:v>
      </x:c>
      <x:c r="I40" s="14"/>
      <x:c r="J40" s="14"/>
      <x:c r="K40" s="14"/>
      <x:c r="L40" s="14"/>
      <x:c r="M40" s="14"/>
      <x:c r="N40" s="14"/>
      <x:c r="O40" s="14"/>
      <x:c r="P40" s="14"/>
      <x:c r="Q40" s="14"/>
      <x:c r="R40" s="14" t="n">
        <x:v>22761.895</x:v>
      </x:c>
      <x:c r="S40" s="14" t="n">
        <x:v>-14686.736</x:v>
      </x:c>
      <x:c r="T40" s="13" t="str">
        <x:v>ХХ_МСФО_2025.pdf</x:v>
      </x:c>
      <x:c r="U40" s="13" t="str">
        <x:v>9</x:v>
      </x:c>
      <x:c r="V40" s="13" t="str">
        <x:v>Подтверждено</x:v>
      </x:c>
    </x:row>
    <x:row r="41">
      <x:c r="A41" s="13" t="str">
        <x:v>МТС</x:v>
      </x:c>
      <x:c r="B41" s="13" t="str">
        <x:v>MTSS</x:v>
      </x:c>
      <x:c r="C41" s="13" t="n">
        <x:v>2023</x:v>
      </x:c>
      <x:c r="D41" s="13" t="str">
        <x:v>RUB</x:v>
      </x:c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3" t="str">
        <x:v>н.д.</x:v>
      </x:c>
      <x:c r="U41" s="13" t="str">
        <x:v>н.д.</x:v>
      </x:c>
      <x:c r="V41" s="13" t="str">
        <x:v>Нет исходника</x:v>
      </x:c>
    </x:row>
    <x:row r="42">
      <x:c r="A42" s="13" t="str">
        <x:v>МТС</x:v>
      </x:c>
      <x:c r="B42" s="13" t="str">
        <x:v>MTSS</x:v>
      </x:c>
      <x:c r="C42" s="13" t="n">
        <x:v>2024</x:v>
      </x:c>
      <x:c r="D42" s="13" t="str">
        <x:v>RUB</x:v>
      </x:c>
      <x:c r="E42" s="14" t="n">
        <x:v>703741</x:v>
      </x:c>
      <x:c r="F42" s="14" t="n">
        <x:v>49048</x:v>
      </x:c>
      <x:c r="G42" s="14"/>
      <x:c r="H42" s="14"/>
      <x:c r="I42" s="14"/>
      <x:c r="J42" s="14"/>
      <x:c r="K42" s="14" t="n">
        <x:v>246432</x:v>
      </x:c>
      <x:c r="L42" s="14" t="n">
        <x:v>135930</x:v>
      </x:c>
      <x:c r="M42" s="14" t="n">
        <x:v>110502</x:v>
      </x:c>
      <x:c r="N42" s="14"/>
      <x:c r="O42" s="14"/>
      <x:c r="P42" s="14"/>
      <x:c r="Q42" s="14"/>
      <x:c r="R42" s="14" t="n">
        <x:v>246432</x:v>
      </x:c>
      <x:c r="S42" s="14"/>
      <x:c r="T42" s="13" t="str">
        <x:v>МТС_МСФО_2025.pdf</x:v>
      </x:c>
      <x:c r="U42" s="13" t="str">
        <x:v>11</x:v>
      </x:c>
      <x:c r="V42" s="13" t="str">
        <x:v>Подтверждено</x:v>
      </x:c>
    </x:row>
    <x:row r="43">
      <x:c r="A43" s="13" t="str">
        <x:v>МТС</x:v>
      </x:c>
      <x:c r="B43" s="13" t="str">
        <x:v>MTSS</x:v>
      </x:c>
      <x:c r="C43" s="13" t="n">
        <x:v>2025</x:v>
      </x:c>
      <x:c r="D43" s="13" t="str">
        <x:v>RUB</x:v>
      </x:c>
      <x:c r="E43" s="14" t="n">
        <x:v>807186</x:v>
      </x:c>
      <x:c r="F43" s="14" t="n">
        <x:v>35220</x:v>
      </x:c>
      <x:c r="G43" s="14"/>
      <x:c r="H43" s="14"/>
      <x:c r="I43" s="14"/>
      <x:c r="J43" s="14"/>
      <x:c r="K43" s="14" t="n">
        <x:v>279695</x:v>
      </x:c>
      <x:c r="L43" s="14" t="n">
        <x:v>154609</x:v>
      </x:c>
      <x:c r="M43" s="14" t="n">
        <x:v>125086</x:v>
      </x:c>
      <x:c r="N43" s="14"/>
      <x:c r="O43" s="14"/>
      <x:c r="P43" s="14"/>
      <x:c r="Q43" s="14"/>
      <x:c r="R43" s="14" t="n">
        <x:v>279695</x:v>
      </x:c>
      <x:c r="S43" s="14"/>
      <x:c r="T43" s="13" t="str">
        <x:v>МТС_МСФО_2025.pdf</x:v>
      </x:c>
      <x:c r="U43" s="13" t="str">
        <x:v>11</x:v>
      </x:c>
      <x:c r="V43" s="13" t="str">
        <x:v>Подтверждено</x:v>
      </x:c>
    </x:row>
    <x:row r="44">
      <x:c r="A44" s="13" t="str">
        <x:v>Интер РАО</x:v>
      </x:c>
      <x:c r="B44" s="13" t="str">
        <x:v>IRAO</x:v>
      </x:c>
      <x:c r="C44" s="13" t="n">
        <x:v>2023</x:v>
      </x:c>
      <x:c r="D44" s="13" t="str">
        <x:v>RUB</x:v>
      </x:c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3" t="str">
        <x:v>н.д.</x:v>
      </x:c>
      <x:c r="U44" s="13" t="str">
        <x:v>н.д.</x:v>
      </x:c>
      <x:c r="V44" s="13" t="str">
        <x:v>Нет исходника</x:v>
      </x:c>
    </x:row>
    <x:row r="45">
      <x:c r="A45" s="13" t="str">
        <x:v>Интер РАО</x:v>
      </x:c>
      <x:c r="B45" s="13" t="str">
        <x:v>IRAO</x:v>
      </x:c>
      <x:c r="C45" s="13" t="n">
        <x:v>2024</x:v>
      </x:c>
      <x:c r="D45" s="13" t="str">
        <x:v>RUB</x:v>
      </x:c>
      <x:c r="E45" s="14" t="n">
        <x:v>1548447</x:v>
      </x:c>
      <x:c r="F45" s="14" t="n">
        <x:v>147462</x:v>
      </x:c>
      <x:c r="G45" s="14" t="n">
        <x:v>173303</x:v>
      </x:c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 t="n">
        <x:v>-414800</x:v>
      </x:c>
      <x:c r="T45" s="13" t="str">
        <x:v>Интер-Рао_МСФО_2025.pdf</x:v>
      </x:c>
      <x:c r="U45" s="13" t="str">
        <x:v>10</x:v>
      </x:c>
      <x:c r="V45" s="13" t="str">
        <x:v>Подтверждено</x:v>
      </x:c>
    </x:row>
    <x:row r="46">
      <x:c r="A46" s="13" t="str">
        <x:v>Интер РАО</x:v>
      </x:c>
      <x:c r="B46" s="13" t="str">
        <x:v>IRAO</x:v>
      </x:c>
      <x:c r="C46" s="13" t="n">
        <x:v>2025</x:v>
      </x:c>
      <x:c r="D46" s="13" t="str">
        <x:v>RUB</x:v>
      </x:c>
      <x:c r="E46" s="14" t="n">
        <x:v>1760626</x:v>
      </x:c>
      <x:c r="F46" s="14" t="n">
        <x:v>133834</x:v>
      </x:c>
      <x:c r="G46" s="14" t="n">
        <x:v>181544</x:v>
      </x:c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 t="n">
        <x:v>-348292</x:v>
      </x:c>
      <x:c r="T46" s="13" t="str">
        <x:v>Интер-Рао_МСФО_2025.pdf</x:v>
      </x:c>
      <x:c r="U46" s="13" t="str">
        <x:v>10</x:v>
      </x:c>
      <x:c r="V46" s="13" t="str">
        <x:v>Подтверждено</x:v>
      </x:c>
    </x:row>
    <x:row r="47">
      <x:c r="A47" s="13" t="str">
        <x:v>Северсталь</x:v>
      </x:c>
      <x:c r="B47" s="13" t="str">
        <x:v>CHMF</x:v>
      </x:c>
      <x:c r="C47" s="13" t="n">
        <x:v>2023</x:v>
      </x:c>
      <x:c r="D47" s="13" t="str">
        <x:v>RUB</x:v>
      </x:c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3" t="str">
        <x:v>н.д.</x:v>
      </x:c>
      <x:c r="U47" s="13" t="str">
        <x:v>н.д.</x:v>
      </x:c>
      <x:c r="V47" s="13" t="str">
        <x:v>Нет исходника</x:v>
      </x:c>
    </x:row>
    <x:row r="48">
      <x:c r="A48" s="13" t="str">
        <x:v>Северсталь</x:v>
      </x:c>
      <x:c r="B48" s="13" t="str">
        <x:v>CHMF</x:v>
      </x:c>
      <x:c r="C48" s="13" t="n">
        <x:v>2024</x:v>
      </x:c>
      <x:c r="D48" s="13" t="str">
        <x:v>RUB</x:v>
      </x:c>
      <x:c r="E48" s="14" t="n">
        <x:v>829779</x:v>
      </x:c>
      <x:c r="F48" s="14" t="n">
        <x:v>149554</x:v>
      </x:c>
      <x:c r="G48" s="14" t="n">
        <x:v>237880</x:v>
      </x:c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 t="n">
        <x:v>-20068</x:v>
      </x:c>
      <x:c r="T48" s="13" t="str">
        <x:v>Северсталь_МСФО_2025.pdf</x:v>
      </x:c>
      <x:c r="U48" s="13" t="str">
        <x:v>5, 6</x:v>
      </x:c>
      <x:c r="V48" s="13" t="str">
        <x:v>Подтверждено</x:v>
      </x:c>
    </x:row>
    <x:row r="49">
      <x:c r="A49" s="13" t="str">
        <x:v>Северсталь</x:v>
      </x:c>
      <x:c r="B49" s="13" t="str">
        <x:v>CHMF</x:v>
      </x:c>
      <x:c r="C49" s="13" t="n">
        <x:v>2025</x:v>
      </x:c>
      <x:c r="D49" s="13" t="str">
        <x:v>RUB</x:v>
      </x:c>
      <x:c r="E49" s="14" t="n">
        <x:v>712896</x:v>
      </x:c>
      <x:c r="F49" s="14" t="n">
        <x:v>31991</x:v>
      </x:c>
      <x:c r="G49" s="14" t="n">
        <x:v>137612</x:v>
      </x:c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 t="n">
        <x:v>21665</x:v>
      </x:c>
      <x:c r="T49" s="13" t="str">
        <x:v>Северсталь_МСФО_2025.pdf</x:v>
      </x:c>
      <x:c r="U49" s="13" t="str">
        <x:v>5, 6</x:v>
      </x:c>
      <x:c r="V49" s="13" t="str">
        <x:v>Подтверждено</x:v>
      </x:c>
    </x:row>
    <x:row r="50">
      <x:c r="A50" s="13" t="str">
        <x:v>РУСАЛ</x:v>
      </x:c>
      <x:c r="B50" s="13" t="str">
        <x:v>RUAL</x:v>
      </x:c>
      <x:c r="C50" s="13" t="n">
        <x:v>2023</x:v>
      </x:c>
      <x:c r="D50" s="13" t="str">
        <x:v>USD</x:v>
      </x:c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3" t="str">
        <x:v>н.д.</x:v>
      </x:c>
      <x:c r="U50" s="13" t="str">
        <x:v>н.д.</x:v>
      </x:c>
      <x:c r="V50" s="13" t="str">
        <x:v>Нет исходника</x:v>
      </x:c>
    </x:row>
    <x:row r="51">
      <x:c r="A51" s="13" t="str">
        <x:v>РУСАЛ</x:v>
      </x:c>
      <x:c r="B51" s="13" t="str">
        <x:v>RUAL</x:v>
      </x:c>
      <x:c r="C51" s="13" t="n">
        <x:v>2024</x:v>
      </x:c>
      <x:c r="D51" s="13" t="str">
        <x:v>USD</x:v>
      </x:c>
      <x:c r="E51" s="14" t="n">
        <x:v>12082</x:v>
      </x:c>
      <x:c r="F51" s="14" t="n">
        <x:v>803</x:v>
      </x:c>
      <x:c r="G51" s="14" t="n">
        <x:v>1494</x:v>
      </x:c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 t="n">
        <x:v>6415</x:v>
      </x:c>
      <x:c r="T51" s="13" t="str">
        <x:v>Русал_МСФО_2025.pdf</x:v>
      </x:c>
      <x:c r="U51" s="13" t="str">
        <x:v>10, 11</x:v>
      </x:c>
      <x:c r="V51" s="13" t="str">
        <x:v>Подтверждено</x:v>
      </x:c>
    </x:row>
    <x:row r="52">
      <x:c r="A52" s="13" t="str">
        <x:v>РУСАЛ</x:v>
      </x:c>
      <x:c r="B52" s="13" t="str">
        <x:v>RUAL</x:v>
      </x:c>
      <x:c r="C52" s="13" t="n">
        <x:v>2025</x:v>
      </x:c>
      <x:c r="D52" s="13" t="str">
        <x:v>USD</x:v>
      </x:c>
      <x:c r="E52" s="14" t="n">
        <x:v>14812</x:v>
      </x:c>
      <x:c r="F52" s="14" t="n">
        <x:v>-455</x:v>
      </x:c>
      <x:c r="G52" s="14" t="n">
        <x:v>1053</x:v>
      </x:c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 t="n">
        <x:v>8054</x:v>
      </x:c>
      <x:c r="T52" s="13" t="str">
        <x:v>Русал_МСФО_2025.pdf</x:v>
      </x:c>
      <x:c r="U52" s="13" t="str">
        <x:v>10, 11</x:v>
      </x:c>
      <x:c r="V52" s="13" t="str">
        <x:v>Подтверждено</x:v>
      </x:c>
    </x:row>
    <x:row r="53">
      <x:c r="A53" s="13" t="str">
        <x:v>НЛМК</x:v>
      </x:c>
      <x:c r="B53" s="13" t="str">
        <x:v>NLMK</x:v>
      </x:c>
      <x:c r="C53" s="13" t="n">
        <x:v>2023</x:v>
      </x:c>
      <x:c r="D53" s="13" t="str">
        <x:v>RUB</x:v>
      </x:c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3" t="str">
        <x:v>н.д.</x:v>
      </x:c>
      <x:c r="U53" s="13" t="str">
        <x:v>н.д.</x:v>
      </x:c>
      <x:c r="V53" s="13" t="str">
        <x:v>Нет исходника</x:v>
      </x:c>
    </x:row>
    <x:row r="54">
      <x:c r="A54" s="13" t="str">
        <x:v>НЛМК</x:v>
      </x:c>
      <x:c r="B54" s="13" t="str">
        <x:v>NLMK</x:v>
      </x:c>
      <x:c r="C54" s="13" t="n">
        <x:v>2024</x:v>
      </x:c>
      <x:c r="D54" s="13" t="str">
        <x:v>RUB</x:v>
      </x:c>
      <x:c r="E54" s="14" t="n">
        <x:v>979593</x:v>
      </x:c>
      <x:c r="F54" s="14" t="n">
        <x:v>121857</x:v>
      </x:c>
      <x:c r="G54" s="14" t="n">
        <x:v>256887</x:v>
      </x:c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 t="n">
        <x:v>-10213</x:v>
      </x:c>
      <x:c r="T54" s="13" t="str">
        <x:v>НЛМК_МСФО_2025.pdf</x:v>
      </x:c>
      <x:c r="U54" s="13" t="str">
        <x:v>8, 9</x:v>
      </x:c>
      <x:c r="V54" s="13" t="str">
        <x:v>Подтверждено</x:v>
      </x:c>
    </x:row>
    <x:row r="55">
      <x:c r="A55" s="13" t="str">
        <x:v>НЛМК</x:v>
      </x:c>
      <x:c r="B55" s="13" t="str">
        <x:v>NLMK</x:v>
      </x:c>
      <x:c r="C55" s="13" t="n">
        <x:v>2025</x:v>
      </x:c>
      <x:c r="D55" s="13" t="str">
        <x:v>RUB</x:v>
      </x:c>
      <x:c r="E55" s="14" t="n">
        <x:v>831351</x:v>
      </x:c>
      <x:c r="F55" s="14" t="n">
        <x:v>63149</x:v>
      </x:c>
      <x:c r="G55" s="14" t="n">
        <x:v>140500</x:v>
      </x:c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 t="n">
        <x:v>-45664</x:v>
      </x:c>
      <x:c r="T55" s="13" t="str">
        <x:v>НЛМК_МСФО_2025.pdf</x:v>
      </x:c>
      <x:c r="U55" s="13" t="str">
        <x:v>8, 9</x:v>
      </x:c>
      <x:c r="V55" s="13" t="str">
        <x:v>Подтверждено</x:v>
      </x:c>
    </x:row>
    <x:row r="56">
      <x:c r="A56" s="13" t="str">
        <x:v>ФосАгро</x:v>
      </x:c>
      <x:c r="B56" s="13" t="str">
        <x:v>PHOR</x:v>
      </x:c>
      <x:c r="C56" s="13" t="n">
        <x:v>2023</x:v>
      </x:c>
      <x:c r="D56" s="13" t="str">
        <x:v>RUB</x:v>
      </x:c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  <x:c r="T56" s="13" t="str">
        <x:v>н.д.</x:v>
      </x:c>
      <x:c r="U56" s="13" t="str">
        <x:v>н.д.</x:v>
      </x:c>
      <x:c r="V56" s="13" t="str">
        <x:v>Нет исходника</x:v>
      </x:c>
    </x:row>
    <x:row r="57">
      <x:c r="A57" s="13" t="str">
        <x:v>ФосАгро</x:v>
      </x:c>
      <x:c r="B57" s="13" t="str">
        <x:v>PHOR</x:v>
      </x:c>
      <x:c r="C57" s="13" t="n">
        <x:v>2024</x:v>
      </x:c>
      <x:c r="D57" s="13" t="str">
        <x:v>RUB</x:v>
      </x:c>
      <x:c r="E57" s="14" t="n">
        <x:v>507689</x:v>
      </x:c>
      <x:c r="F57" s="14" t="n">
        <x:v>84469</x:v>
      </x:c>
      <x:c r="G57" s="14" t="n">
        <x:v>177005</x:v>
      </x:c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 t="n">
        <x:v>325356</x:v>
      </x:c>
      <x:c r="T57" s="13" t="str">
        <x:v>Фосагро_МСФО_2025.pdf</x:v>
      </x:c>
      <x:c r="U57" s="13" t="str">
        <x:v>8</x:v>
      </x:c>
      <x:c r="V57" s="13" t="str">
        <x:v>Подтверждено</x:v>
      </x:c>
    </x:row>
    <x:row r="58">
      <x:c r="A58" s="13" t="str">
        <x:v>ФосАгро</x:v>
      </x:c>
      <x:c r="B58" s="13" t="str">
        <x:v>PHOR</x:v>
      </x:c>
      <x:c r="C58" s="13" t="n">
        <x:v>2025</x:v>
      </x:c>
      <x:c r="D58" s="13" t="str">
        <x:v>RUB</x:v>
      </x:c>
      <x:c r="E58" s="14" t="n">
        <x:v>573628</x:v>
      </x:c>
      <x:c r="F58" s="14" t="n">
        <x:v>114243</x:v>
      </x:c>
      <x:c r="G58" s="14" t="n">
        <x:v>176317</x:v>
      </x:c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 t="n">
        <x:v>320468</x:v>
      </x:c>
      <x:c r="T58" s="13" t="str">
        <x:v>Фосагро_МСФО_2025.pdf</x:v>
      </x:c>
      <x:c r="U58" s="13" t="str">
        <x:v>8</x:v>
      </x:c>
      <x:c r="V58" s="13" t="str">
        <x:v>Подтверждено</x:v>
      </x:c>
    </x:row>
    <x:row r="59">
      <x:c r="A59" s="13" t="str">
        <x:v>Ростелеком</x:v>
      </x:c>
      <x:c r="B59" s="13" t="str">
        <x:v>RTKM</x:v>
      </x:c>
      <x:c r="C59" s="13" t="n">
        <x:v>2023</x:v>
      </x:c>
      <x:c r="D59" s="13" t="str">
        <x:v>RUB</x:v>
      </x:c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  <x:c r="T59" s="13" t="str">
        <x:v>н.д.</x:v>
      </x:c>
      <x:c r="U59" s="13" t="str">
        <x:v>н.д.</x:v>
      </x:c>
      <x:c r="V59" s="13" t="str">
        <x:v>Нет исходника</x:v>
      </x:c>
    </x:row>
    <x:row r="60">
      <x:c r="A60" s="13" t="str">
        <x:v>Ростелеком</x:v>
      </x:c>
      <x:c r="B60" s="13" t="str">
        <x:v>RTKM</x:v>
      </x:c>
      <x:c r="C60" s="13" t="n">
        <x:v>2024</x:v>
      </x:c>
      <x:c r="D60" s="13" t="str">
        <x:v>RUB</x:v>
      </x:c>
      <x:c r="E60" s="14" t="n">
        <x:v>779945</x:v>
      </x:c>
      <x:c r="F60" s="14" t="n">
        <x:v>24060</x:v>
      </x:c>
      <x:c r="G60" s="14"/>
      <x:c r="H60" s="14"/>
      <x:c r="I60" s="14"/>
      <x:c r="J60" s="14"/>
      <x:c r="K60" s="14" t="n">
        <x:v>302460</x:v>
      </x:c>
      <x:c r="L60" s="14"/>
      <x:c r="M60" s="14"/>
      <x:c r="N60" s="14"/>
      <x:c r="O60" s="14"/>
      <x:c r="P60" s="14"/>
      <x:c r="Q60" s="14"/>
      <x:c r="R60" s="14"/>
      <x:c r="S60" s="14" t="n">
        <x:v>661202</x:v>
      </x:c>
      <x:c r="T60" s="13" t="str">
        <x:v>Ростелеком_МСФО_2025.pdf</x:v>
      </x:c>
      <x:c r="U60" s="13" t="str">
        <x:v>3</x:v>
      </x:c>
      <x:c r="V60" s="13" t="str">
        <x:v>Подтверждено</x:v>
      </x:c>
    </x:row>
    <x:row r="61">
      <x:c r="A61" s="13" t="str">
        <x:v>Ростелеком</x:v>
      </x:c>
      <x:c r="B61" s="13" t="str">
        <x:v>RTKM</x:v>
      </x:c>
      <x:c r="C61" s="13" t="n">
        <x:v>2025</x:v>
      </x:c>
      <x:c r="D61" s="13" t="str">
        <x:v>RUB</x:v>
      </x:c>
      <x:c r="E61" s="14" t="n">
        <x:v>872790</x:v>
      </x:c>
      <x:c r="F61" s="14" t="n">
        <x:v>18715</x:v>
      </x:c>
      <x:c r="G61" s="14"/>
      <x:c r="H61" s="14"/>
      <x:c r="I61" s="14"/>
      <x:c r="J61" s="14"/>
      <x:c r="K61" s="14" t="n">
        <x:v>331048</x:v>
      </x:c>
      <x:c r="L61" s="14"/>
      <x:c r="M61" s="14"/>
      <x:c r="N61" s="14"/>
      <x:c r="O61" s="14"/>
      <x:c r="P61" s="14"/>
      <x:c r="Q61" s="14"/>
      <x:c r="R61" s="14"/>
      <x:c r="S61" s="14" t="n">
        <x:v>689637</x:v>
      </x:c>
      <x:c r="T61" s="13" t="str">
        <x:v>Ростелеком_МСФО_2025.pdf</x:v>
      </x:c>
      <x:c r="U61" s="13" t="str">
        <x:v>3</x:v>
      </x:c>
      <x:c r="V61" s="13" t="str">
        <x:v>Подтверждено</x:v>
      </x:c>
    </x:row>
    <x:row r="62">
      <x:c r="A62" s="13" t="str">
        <x:v>Аэрофлот</x:v>
      </x:c>
      <x:c r="B62" s="13" t="str">
        <x:v>AFLT</x:v>
      </x:c>
      <x:c r="C62" s="13" t="n">
        <x:v>2023</x:v>
      </x:c>
      <x:c r="D62" s="13" t="str">
        <x:v>RUB</x:v>
      </x:c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  <x:c r="T62" s="13" t="str">
        <x:v>н.д.</x:v>
      </x:c>
      <x:c r="U62" s="13" t="str">
        <x:v>н.д.</x:v>
      </x:c>
      <x:c r="V62" s="13" t="str">
        <x:v>Нет исходника</x:v>
      </x:c>
    </x:row>
    <x:row r="63">
      <x:c r="A63" s="13" t="str">
        <x:v>Аэрофлот</x:v>
      </x:c>
      <x:c r="B63" s="13" t="str">
        <x:v>AFLT</x:v>
      </x:c>
      <x:c r="C63" s="13" t="n">
        <x:v>2024</x:v>
      </x:c>
      <x:c r="D63" s="13" t="str">
        <x:v>RUB</x:v>
      </x:c>
      <x:c r="E63" s="14" t="n">
        <x:v>856785</x:v>
      </x:c>
      <x:c r="F63" s="14" t="n">
        <x:v>55020</x:v>
      </x:c>
      <x:c r="G63" s="14" t="n">
        <x:v>214075</x:v>
      </x:c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 t="n">
        <x:v>598091</x:v>
      </x:c>
      <x:c r="T63" s="13" t="str">
        <x:v>Аэрофлот_МСФО_2025.pdf</x:v>
      </x:c>
      <x:c r="U63" s="13" t="str">
        <x:v>9, 10</x:v>
      </x:c>
      <x:c r="V63" s="13" t="str">
        <x:v>Подтверждено</x:v>
      </x:c>
    </x:row>
    <x:row r="64">
      <x:c r="A64" s="13" t="str">
        <x:v>Аэрофлот</x:v>
      </x:c>
      <x:c r="B64" s="13" t="str">
        <x:v>AFLT</x:v>
      </x:c>
      <x:c r="C64" s="13" t="n">
        <x:v>2025</x:v>
      </x:c>
      <x:c r="D64" s="13" t="str">
        <x:v>RUB</x:v>
      </x:c>
      <x:c r="E64" s="14" t="n">
        <x:v>902261</x:v>
      </x:c>
      <x:c r="F64" s="14" t="n">
        <x:v>105505</x:v>
      </x:c>
      <x:c r="G64" s="14" t="n">
        <x:v>253651</x:v>
      </x:c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 t="n">
        <x:v>535492</x:v>
      </x:c>
      <x:c r="T64" s="13" t="str">
        <x:v>Аэрофлот_МСФО_2025.pdf</x:v>
      </x:c>
      <x:c r="U64" s="13" t="str">
        <x:v>9, 10</x:v>
      </x:c>
      <x:c r="V64" s="13" t="str">
        <x:v>Подтверждено</x:v>
      </x:c>
    </x:row>
    <x:row r="65">
      <x:c r="A65" s="13" t="str">
        <x:v>ММК</x:v>
      </x:c>
      <x:c r="B65" s="13" t="str">
        <x:v>MAGN</x:v>
      </x:c>
      <x:c r="C65" s="13" t="n">
        <x:v>2023</x:v>
      </x:c>
      <x:c r="D65" s="13" t="str">
        <x:v>RUB</x:v>
      </x:c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  <x:c r="T65" s="13" t="str">
        <x:v>н.д.</x:v>
      </x:c>
      <x:c r="U65" s="13" t="str">
        <x:v>н.д.</x:v>
      </x:c>
      <x:c r="V65" s="13" t="str">
        <x:v>Нет исходника</x:v>
      </x:c>
    </x:row>
    <x:row r="66">
      <x:c r="A66" s="13" t="str">
        <x:v>ММК</x:v>
      </x:c>
      <x:c r="B66" s="13" t="str">
        <x:v>MAGN</x:v>
      </x:c>
      <x:c r="C66" s="13" t="n">
        <x:v>2024</x:v>
      </x:c>
      <x:c r="D66" s="13" t="str">
        <x:v>RUB</x:v>
      </x:c>
      <x:c r="E66" s="14" t="n">
        <x:v>768466</x:v>
      </x:c>
      <x:c r="F66" s="14" t="n">
        <x:v>79740</x:v>
      </x:c>
      <x:c r="G66" s="14" t="n">
        <x:v>153023</x:v>
      </x:c>
      <x:c r="H66" s="14"/>
      <x:c r="I66" s="14"/>
      <x:c r="J66" s="14"/>
      <x:c r="K66" s="14"/>
      <x:c r="L66" s="14" t="n">
        <x:v>99699</x:v>
      </x:c>
      <x:c r="M66" s="14" t="n">
        <x:v>54290</x:v>
      </x:c>
      <x:c r="N66" s="14"/>
      <x:c r="O66" s="14"/>
      <x:c r="P66" s="14"/>
      <x:c r="Q66" s="14" t="n">
        <x:v>12</x:v>
      </x:c>
      <x:c r="R66" s="14" t="n">
        <x:v>153023</x:v>
      </x:c>
      <x:c r="S66" s="14" t="n">
        <x:v>-73386</x:v>
      </x:c>
      <x:c r="T66" s="13" t="str">
        <x:v>ММК_МСФО_2025.pdf</x:v>
      </x:c>
      <x:c r="U66" s="13" t="str">
        <x:v>9</x:v>
      </x:c>
      <x:c r="V66" s="13" t="str">
        <x:v>Подтверждено</x:v>
      </x:c>
    </x:row>
    <x:row r="67">
      <x:c r="A67" s="13" t="str">
        <x:v>ММК</x:v>
      </x:c>
      <x:c r="B67" s="13" t="str">
        <x:v>MAGN</x:v>
      </x:c>
      <x:c r="C67" s="13" t="n">
        <x:v>2025</x:v>
      </x:c>
      <x:c r="D67" s="13" t="str">
        <x:v>RUB</x:v>
      </x:c>
      <x:c r="E67" s="14" t="n">
        <x:v>609865</x:v>
      </x:c>
      <x:c r="F67" s="14" t="n">
        <x:v>-14855</x:v>
      </x:c>
      <x:c r="G67" s="14" t="n">
        <x:v>80757</x:v>
      </x:c>
      <x:c r="H67" s="14"/>
      <x:c r="I67" s="14"/>
      <x:c r="J67" s="14"/>
      <x:c r="K67" s="14"/>
      <x:c r="L67" s="14" t="n">
        <x:v>21444</x:v>
      </x:c>
      <x:c r="M67" s="14" t="n">
        <x:v>60064</x:v>
      </x:c>
      <x:c r="N67" s="14"/>
      <x:c r="O67" s="14"/>
      <x:c r="P67" s="14"/>
      <x:c r="Q67" s="14" t="n">
        <x:v>9</x:v>
      </x:c>
      <x:c r="R67" s="14" t="n">
        <x:v>80757</x:v>
      </x:c>
      <x:c r="S67" s="14" t="n">
        <x:v>-79923</x:v>
      </x:c>
      <x:c r="T67" s="13" t="str">
        <x:v>ММК_МСФО_2025.pdf</x:v>
      </x:c>
      <x:c r="U67" s="13" t="str">
        <x:v>9</x:v>
      </x:c>
      <x:c r="V67" s="13" t="str">
        <x:v>Подтверждено</x:v>
      </x:c>
    </x:row>
    <x:row r="68">
      <x:c r="A68" s="13" t="str">
        <x:v>Эн+ Груп</x:v>
      </x:c>
      <x:c r="B68" s="13" t="str">
        <x:v>ENPG</x:v>
      </x:c>
      <x:c r="C68" s="13" t="n">
        <x:v>2023</x:v>
      </x:c>
      <x:c r="D68" s="13" t="str">
        <x:v>USD</x:v>
      </x:c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  <x:c r="T68" s="13" t="str">
        <x:v>н.д.</x:v>
      </x:c>
      <x:c r="U68" s="13" t="str">
        <x:v>н.д.</x:v>
      </x:c>
      <x:c r="V68" s="13" t="str">
        <x:v>Нет исходника</x:v>
      </x:c>
    </x:row>
    <x:row r="69">
      <x:c r="A69" s="13" t="str">
        <x:v>Эн+ Груп</x:v>
      </x:c>
      <x:c r="B69" s="13" t="str">
        <x:v>ENPG</x:v>
      </x:c>
      <x:c r="C69" s="13" t="n">
        <x:v>2024</x:v>
      </x:c>
      <x:c r="D69" s="13" t="str">
        <x:v>USD</x:v>
      </x:c>
      <x:c r="E69" s="14" t="n">
        <x:v>14649</x:v>
      </x:c>
      <x:c r="F69" s="14" t="n">
        <x:v>1348</x:v>
      </x:c>
      <x:c r="G69" s="14"/>
      <x:c r="H69" s="14" t="n">
        <x:v>2927</x:v>
      </x:c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 t="n">
        <x:v>8881</x:v>
      </x:c>
      <x:c r="T69" s="13" t="str">
        <x:v>Эн+_отчет_МСФО_2025.pdf</x:v>
      </x:c>
      <x:c r="U69" s="13" t="str">
        <x:v>9, 10</x:v>
      </x:c>
      <x:c r="V69" s="13" t="str">
        <x:v>Подтверждено</x:v>
      </x:c>
    </x:row>
    <x:row r="70">
      <x:c r="A70" s="13" t="str">
        <x:v>Эн+ Груп</x:v>
      </x:c>
      <x:c r="B70" s="13" t="str">
        <x:v>ENPG</x:v>
      </x:c>
      <x:c r="C70" s="13" t="n">
        <x:v>2025</x:v>
      </x:c>
      <x:c r="D70" s="13" t="str">
        <x:v>USD</x:v>
      </x:c>
      <x:c r="E70" s="14" t="n">
        <x:v>17703</x:v>
      </x:c>
      <x:c r="F70" s="14" t="n">
        <x:v>235</x:v>
      </x:c>
      <x:c r="G70" s="14"/>
      <x:c r="H70" s="14" t="n">
        <x:v>2700</x:v>
      </x:c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 t="n">
        <x:v>11109</x:v>
      </x:c>
      <x:c r="T70" s="13" t="str">
        <x:v>Эн+_отчет_МСФО_2025.pdf</x:v>
      </x:c>
      <x:c r="U70" s="13" t="str">
        <x:v>9, 10</x:v>
      </x:c>
      <x:c r="V70" s="13" t="str">
        <x:v>Подтверждено</x:v>
      </x:c>
    </x:row>
    <x:row r="71">
      <x:c r="A71" s="13" t="str">
        <x:v>MD Medical</x:v>
      </x:c>
      <x:c r="B71" s="13" t="str">
        <x:v>MDMG</x:v>
      </x:c>
      <x:c r="C71" s="13" t="n">
        <x:v>2023</x:v>
      </x:c>
      <x:c r="D71" s="13" t="str">
        <x:v>RUB</x:v>
      </x:c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  <x:c r="T71" s="13" t="str">
        <x:v>н.д.</x:v>
      </x:c>
      <x:c r="U71" s="13" t="str">
        <x:v>н.д.</x:v>
      </x:c>
      <x:c r="V71" s="13" t="str">
        <x:v>Нет исходника</x:v>
      </x:c>
    </x:row>
    <x:row r="72">
      <x:c r="A72" s="13" t="str">
        <x:v>MD Medical</x:v>
      </x:c>
      <x:c r="B72" s="13" t="str">
        <x:v>MDMG</x:v>
      </x:c>
      <x:c r="C72" s="13" t="n">
        <x:v>2024</x:v>
      </x:c>
      <x:c r="D72" s="13" t="str">
        <x:v>RUB</x:v>
      </x:c>
      <x:c r="E72" s="14" t="n">
        <x:v>33122</x:v>
      </x:c>
      <x:c r="F72" s="14" t="n">
        <x:v>10175</x:v>
      </x:c>
      <x:c r="G72" s="14" t="n">
        <x:v>10681</x:v>
      </x:c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 t="n">
        <x:v>-4650</x:v>
      </x:c>
      <x:c r="T72" s="13" t="str">
        <x:v>МД Медикал МСФО.pdf</x:v>
      </x:c>
      <x:c r="U72" s="13" t="str">
        <x:v>19</x:v>
      </x:c>
      <x:c r="V72" s="13" t="str">
        <x:v>Подтверждено</x:v>
      </x:c>
    </x:row>
    <x:row r="73">
      <x:c r="A73" s="13" t="str">
        <x:v>MD Medical</x:v>
      </x:c>
      <x:c r="B73" s="13" t="str">
        <x:v>MDMG</x:v>
      </x:c>
      <x:c r="C73" s="13" t="n">
        <x:v>2025</x:v>
      </x:c>
      <x:c r="D73" s="13" t="str">
        <x:v>RUB</x:v>
      </x:c>
      <x:c r="E73" s="14" t="n">
        <x:v>43455</x:v>
      </x:c>
      <x:c r="F73" s="14" t="n">
        <x:v>11035</x:v>
      </x:c>
      <x:c r="G73" s="14" t="n">
        <x:v>13289</x:v>
      </x:c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 t="n">
        <x:v>368</x:v>
      </x:c>
      <x:c r="T73" s="13" t="str">
        <x:v>МД Медикал МСФО.pdf</x:v>
      </x:c>
      <x:c r="U73" s="13" t="str">
        <x:v>19</x:v>
      </x:c>
      <x:c r="V73" s="13" t="str">
        <x:v>Подтверждено</x:v>
      </x:c>
    </x:row>
    <x:row r="74">
      <x:c r="A74" s="13" t="str">
        <x:v>Лента</x:v>
      </x:c>
      <x:c r="B74" s="13" t="str">
        <x:v>LENT</x:v>
      </x:c>
      <x:c r="C74" s="13" t="n">
        <x:v>2023</x:v>
      </x:c>
      <x:c r="D74" s="13" t="str">
        <x:v>RUB</x:v>
      </x:c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  <x:c r="T74" s="13" t="str">
        <x:v>н.д.</x:v>
      </x:c>
      <x:c r="U74" s="13" t="str">
        <x:v>н.д.</x:v>
      </x:c>
      <x:c r="V74" s="13" t="str">
        <x:v>Нет исходника</x:v>
      </x:c>
    </x:row>
    <x:row r="75">
      <x:c r="A75" s="13" t="str">
        <x:v>Лента</x:v>
      </x:c>
      <x:c r="B75" s="13" t="str">
        <x:v>LENT</x:v>
      </x:c>
      <x:c r="C75" s="13" t="n">
        <x:v>2024</x:v>
      </x:c>
      <x:c r="D75" s="13" t="str">
        <x:v>RUB</x:v>
      </x:c>
      <x:c r="E75" s="14" t="n">
        <x:v>888306.765</x:v>
      </x:c>
      <x:c r="F75" s="14" t="n">
        <x:v>22463.392</x:v>
      </x:c>
      <x:c r="G75" s="14" t="n">
        <x:v>88081.579</x:v>
      </x:c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 t="n">
        <x:v>152027.236</x:v>
      </x:c>
      <x:c r="T75" s="13" t="str">
        <x:v>Лента_МСФО_2025.pdf</x:v>
      </x:c>
      <x:c r="U75" s="13" t="str">
        <x:v>7</x:v>
      </x:c>
      <x:c r="V75" s="13" t="str">
        <x:v>Подтверждено</x:v>
      </x:c>
    </x:row>
    <x:row r="76">
      <x:c r="A76" s="13" t="str">
        <x:v>Лента</x:v>
      </x:c>
      <x:c r="B76" s="13" t="str">
        <x:v>LENT</x:v>
      </x:c>
      <x:c r="C76" s="13" t="n">
        <x:v>2025</x:v>
      </x:c>
      <x:c r="D76" s="13" t="str">
        <x:v>RUB</x:v>
      </x:c>
      <x:c r="E76" s="14" t="n">
        <x:v>1103662.719</x:v>
      </x:c>
      <x:c r="F76" s="14" t="n">
        <x:v>34851.311</x:v>
      </x:c>
      <x:c r="G76" s="14" t="n">
        <x:v>113015.443</x:v>
      </x:c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 t="n">
        <x:v>168348.644</x:v>
      </x:c>
      <x:c r="T76" s="13" t="str">
        <x:v>Лента_МСФО_2025.pdf</x:v>
      </x:c>
      <x:c r="U76" s="13" t="str">
        <x:v>7</x:v>
      </x:c>
      <x:c r="V76" s="13" t="str">
        <x:v>Подтверждено</x:v>
      </x:c>
    </x:row>
    <x:row r="77">
      <x:c r="A77" s="13" t="str">
        <x:v>Совкомфлот</x:v>
      </x:c>
      <x:c r="B77" s="13" t="str">
        <x:v>FLOT</x:v>
      </x:c>
      <x:c r="C77" s="13" t="n">
        <x:v>2023</x:v>
      </x:c>
      <x:c r="D77" s="13" t="str">
        <x:v>USD</x:v>
      </x:c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  <x:c r="T77" s="13" t="str">
        <x:v>н.д.</x:v>
      </x:c>
      <x:c r="U77" s="13" t="str">
        <x:v>н.д.</x:v>
      </x:c>
      <x:c r="V77" s="13" t="str">
        <x:v>Нет исходника</x:v>
      </x:c>
    </x:row>
    <x:row r="78">
      <x:c r="A78" s="13" t="str">
        <x:v>Совкомфлот</x:v>
      </x:c>
      <x:c r="B78" s="13" t="str">
        <x:v>FLOT</x:v>
      </x:c>
      <x:c r="C78" s="13" t="n">
        <x:v>2024</x:v>
      </x:c>
      <x:c r="D78" s="13" t="str">
        <x:v>USD</x:v>
      </x:c>
      <x:c r="E78" s="14" t="n">
        <x:v>1869.748</x:v>
      </x:c>
      <x:c r="F78" s="14" t="n">
        <x:v>424.449</x:v>
      </x:c>
      <x:c r="G78" s="14" t="n">
        <x:v>1041.285</x:v>
      </x:c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 t="n">
        <x:v>28.05</x:v>
      </x:c>
      <x:c r="T78" s="13" t="str">
        <x:v>Совкомфлот_МСФО_2025.pdf</x:v>
      </x:c>
      <x:c r="U78" s="13" t="str">
        <x:v>3, 4</x:v>
      </x:c>
      <x:c r="V78" s="13" t="str">
        <x:v>Подтверждено</x:v>
      </x:c>
    </x:row>
    <x:row r="79">
      <x:c r="A79" s="13" t="str">
        <x:v>Совкомфлот</x:v>
      </x:c>
      <x:c r="B79" s="13" t="str">
        <x:v>FLOT</x:v>
      </x:c>
      <x:c r="C79" s="13" t="n">
        <x:v>2025</x:v>
      </x:c>
      <x:c r="D79" s="13" t="str">
        <x:v>USD</x:v>
      </x:c>
      <x:c r="E79" s="14" t="n">
        <x:v>1309.899</x:v>
      </x:c>
      <x:c r="F79" s="14" t="n">
        <x:v>-648.404</x:v>
      </x:c>
      <x:c r="G79" s="14" t="n">
        <x:v>525.625</x:v>
      </x:c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 t="n">
        <x:v>359.29</x:v>
      </x:c>
      <x:c r="T79" s="13" t="str">
        <x:v>Совкомфлот_МСФО_2025.pdf</x:v>
      </x:c>
      <x:c r="U79" s="13" t="str">
        <x:v>3, 4</x:v>
      </x:c>
      <x:c r="V79" s="13" t="str">
        <x:v>Подтверждено</x:v>
      </x:c>
    </x:row>
    <x:row r="80">
      <x:c r="A80" s="13" t="str">
        <x:v>Банк Санкт-Петербург</x:v>
      </x:c>
      <x:c r="B80" s="13" t="str">
        <x:v>BSPB</x:v>
      </x:c>
      <x:c r="C80" s="13" t="n">
        <x:v>2023</x:v>
      </x:c>
      <x:c r="D80" s="13" t="str">
        <x:v>RUB</x:v>
      </x:c>
      <x:c r="E80" s="14" t="str">
        <x:v>н.п.</x:v>
      </x:c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 t="str">
        <x:v>н.п.</x:v>
      </x:c>
      <x:c r="T80" s="13" t="str">
        <x:v>н.д.</x:v>
      </x:c>
      <x:c r="U80" s="13" t="str">
        <x:v>н.д.</x:v>
      </x:c>
      <x:c r="V80" s="13" t="str">
        <x:v>Нет исходника</x:v>
      </x:c>
    </x:row>
    <x:row r="81">
      <x:c r="A81" s="13" t="str">
        <x:v>Банк Санкт-Петербург</x:v>
      </x:c>
      <x:c r="B81" s="13" t="str">
        <x:v>BSPB</x:v>
      </x:c>
      <x:c r="C81" s="13" t="n">
        <x:v>2024</x:v>
      </x:c>
      <x:c r="D81" s="13" t="str">
        <x:v>RUB</x:v>
      </x:c>
      <x:c r="E81" s="14" t="str">
        <x:v>н.п.</x:v>
      </x:c>
      <x:c r="F81" s="14" t="n">
        <x:v>50779</x:v>
      </x:c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 t="str">
        <x:v>н.п.</x:v>
      </x:c>
      <x:c r="T81" s="13" t="str">
        <x:v>Банк_Санкт_Петербург_МСФО_2025.pdf</x:v>
      </x:c>
      <x:c r="U81" s="13" t="str">
        <x:v>6</x:v>
      </x:c>
      <x:c r="V81" s="13" t="str">
        <x:v>Подтверждено</x:v>
      </x:c>
    </x:row>
    <x:row r="82">
      <x:c r="A82" s="13" t="str">
        <x:v>Банк Санкт-Петербург</x:v>
      </x:c>
      <x:c r="B82" s="13" t="str">
        <x:v>BSPB</x:v>
      </x:c>
      <x:c r="C82" s="13" t="n">
        <x:v>2025</x:v>
      </x:c>
      <x:c r="D82" s="13" t="str">
        <x:v>RUB</x:v>
      </x:c>
      <x:c r="E82" s="14" t="str">
        <x:v>н.п.</x:v>
      </x:c>
      <x:c r="F82" s="14" t="n">
        <x:v>37847</x:v>
      </x:c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 t="str">
        <x:v>н.п.</x:v>
      </x:c>
      <x:c r="T82" s="13" t="str">
        <x:v>Банк_Санкт_Петербург_МСФО_2025.pdf</x:v>
      </x:c>
      <x:c r="U82" s="13" t="str">
        <x:v>6</x:v>
      </x:c>
      <x:c r="V82" s="13" t="str">
        <x:v>Подтверждено</x:v>
      </x:c>
    </x:row>
    <x:row r="83">
      <x:c r="A83" s="13" t="str">
        <x:v>АЛРОСА</x:v>
      </x:c>
      <x:c r="B83" s="13" t="str">
        <x:v>ALRS</x:v>
      </x:c>
      <x:c r="C83" s="13" t="n">
        <x:v>2023</x:v>
      </x:c>
      <x:c r="D83" s="13" t="str">
        <x:v>RUB</x:v>
      </x:c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  <x:c r="T83" s="13" t="str">
        <x:v>н.д.</x:v>
      </x:c>
      <x:c r="U83" s="13" t="str">
        <x:v>н.д.</x:v>
      </x:c>
      <x:c r="V83" s="13" t="str">
        <x:v>Нет исходника</x:v>
      </x:c>
    </x:row>
    <x:row r="84">
      <x:c r="A84" s="13" t="str">
        <x:v>АЛРОСА</x:v>
      </x:c>
      <x:c r="B84" s="13" t="str">
        <x:v>ALRS</x:v>
      </x:c>
      <x:c r="C84" s="13" t="n">
        <x:v>2024</x:v>
      </x:c>
      <x:c r="D84" s="13" t="str">
        <x:v>RUB</x:v>
      </x:c>
      <x:c r="E84" s="14" t="n">
        <x:v>244072</x:v>
      </x:c>
      <x:c r="F84" s="14" t="n">
        <x:v>19246</x:v>
      </x:c>
      <x:c r="G84" s="14" t="n">
        <x:v>78638</x:v>
      </x:c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 t="n">
        <x:v>107915</x:v>
      </x:c>
      <x:c r="T84" s="13" t="str">
        <x:v>Алроса_МСФО_2025.pdf</x:v>
      </x:c>
      <x:c r="U84" s="13" t="str">
        <x:v>7</x:v>
      </x:c>
      <x:c r="V84" s="13" t="str">
        <x:v>Подтверждено</x:v>
      </x:c>
    </x:row>
    <x:row r="85">
      <x:c r="A85" s="13" t="str">
        <x:v>АЛРОСА</x:v>
      </x:c>
      <x:c r="B85" s="13" t="str">
        <x:v>ALRS</x:v>
      </x:c>
      <x:c r="C85" s="13" t="n">
        <x:v>2025</x:v>
      </x:c>
      <x:c r="D85" s="13" t="str">
        <x:v>RUB</x:v>
      </x:c>
      <x:c r="E85" s="14" t="n">
        <x:v>241129</x:v>
      </x:c>
      <x:c r="F85" s="14" t="n">
        <x:v>36239</x:v>
      </x:c>
      <x:c r="G85" s="14" t="n">
        <x:v>57823</x:v>
      </x:c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 t="n">
        <x:v>88391</x:v>
      </x:c>
      <x:c r="T85" s="13" t="str">
        <x:v>Алроса_МСФО_2025.pdf</x:v>
      </x:c>
      <x:c r="U85" s="13" t="str">
        <x:v>7</x:v>
      </x:c>
      <x:c r="V85" s="13" t="str">
        <x:v>Подтверждено</x:v>
      </x:c>
    </x:row>
    <x:row r="86">
      <x:c r="A86" s="13" t="str">
        <x:v>ЦИАН</x:v>
      </x:c>
      <x:c r="B86" s="13" t="str">
        <x:v>CNRU</x:v>
      </x:c>
      <x:c r="C86" s="13" t="n">
        <x:v>2023</x:v>
      </x:c>
      <x:c r="D86" s="13" t="str">
        <x:v>RUB</x:v>
      </x:c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  <x:c r="T86" s="13" t="str">
        <x:v>н.д.</x:v>
      </x:c>
      <x:c r="U86" s="13" t="str">
        <x:v>н.д.</x:v>
      </x:c>
      <x:c r="V86" s="13" t="str">
        <x:v>Нет исходника</x:v>
      </x:c>
    </x:row>
    <x:row r="87">
      <x:c r="A87" s="13" t="str">
        <x:v>ЦИАН</x:v>
      </x:c>
      <x:c r="B87" s="13" t="str">
        <x:v>CNRU</x:v>
      </x:c>
      <x:c r="C87" s="13" t="n">
        <x:v>2024</x:v>
      </x:c>
      <x:c r="D87" s="13" t="str">
        <x:v>RUB</x:v>
      </x:c>
      <x:c r="E87" s="14" t="n">
        <x:v>12987</x:v>
      </x:c>
      <x:c r="F87" s="14" t="n">
        <x:v>2464</x:v>
      </x:c>
      <x:c r="G87" s="14"/>
      <x:c r="H87" s="14" t="n">
        <x:v>3207</x:v>
      </x:c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 t="n">
        <x:v>-9141</x:v>
      </x:c>
      <x:c r="T87" s="13" t="str">
        <x:v>Циан_МСФО_2025.pdf</x:v>
      </x:c>
      <x:c r="U87" s="13" t="str">
        <x:v>8</x:v>
      </x:c>
      <x:c r="V87" s="13" t="str">
        <x:v>Подтверждено</x:v>
      </x:c>
    </x:row>
    <x:row r="88">
      <x:c r="A88" s="13" t="str">
        <x:v>ЦИАН</x:v>
      </x:c>
      <x:c r="B88" s="13" t="str">
        <x:v>CNRU</x:v>
      </x:c>
      <x:c r="C88" s="13" t="n">
        <x:v>2025</x:v>
      </x:c>
      <x:c r="D88" s="13" t="str">
        <x:v>RUB</x:v>
      </x:c>
      <x:c r="E88" s="14" t="n">
        <x:v>15156</x:v>
      </x:c>
      <x:c r="F88" s="14" t="n">
        <x:v>2862</x:v>
      </x:c>
      <x:c r="G88" s="14"/>
      <x:c r="H88" s="14" t="n">
        <x:v>3570</x:v>
      </x:c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 t="n">
        <x:v>-6055</x:v>
      </x:c>
      <x:c r="T88" s="13" t="str">
        <x:v>Циан_МСФО_2025.pdf</x:v>
      </x:c>
      <x:c r="U88" s="13" t="str">
        <x:v>8</x:v>
      </x:c>
      <x:c r="V88" s="13" t="str">
        <x:v>Подтверждено</x:v>
      </x:c>
    </x:row>
    <x:row r="89">
      <x:c r="A89" s="13" t="str">
        <x:v>АФК Система</x:v>
      </x:c>
      <x:c r="B89" s="13" t="str">
        <x:v>AFKS</x:v>
      </x:c>
      <x:c r="C89" s="13" t="n">
        <x:v>2023</x:v>
      </x:c>
      <x:c r="D89" s="13" t="str">
        <x:v>RUB</x:v>
      </x:c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  <x:c r="T89" s="13" t="str">
        <x:v>н.д.</x:v>
      </x:c>
      <x:c r="U89" s="13" t="str">
        <x:v>н.д.</x:v>
      </x:c>
      <x:c r="V89" s="13" t="str">
        <x:v>Нет исходника</x:v>
      </x:c>
    </x:row>
    <x:row r="90">
      <x:c r="A90" s="13" t="str">
        <x:v>АФК Система</x:v>
      </x:c>
      <x:c r="B90" s="13" t="str">
        <x:v>AFKS</x:v>
      </x:c>
      <x:c r="C90" s="13" t="n">
        <x:v>2024</x:v>
      </x:c>
      <x:c r="D90" s="13" t="str">
        <x:v>RUB</x:v>
      </x:c>
      <x:c r="E90" s="14" t="n">
        <x:v>1230123.532</x:v>
      </x:c>
      <x:c r="F90" s="14" t="n">
        <x:v>-11758.445</x:v>
      </x:c>
      <x:c r="G90" s="14"/>
      <x:c r="H90" s="14"/>
      <x:c r="I90" s="14"/>
      <x:c r="J90" s="14"/>
      <x:c r="K90" s="14" t="n">
        <x:v>316055.557</x:v>
      </x:c>
      <x:c r="L90" s="14"/>
      <x:c r="M90" s="14"/>
      <x:c r="N90" s="14"/>
      <x:c r="O90" s="14"/>
      <x:c r="P90" s="14"/>
      <x:c r="Q90" s="14"/>
      <x:c r="R90" s="14"/>
      <x:c r="S90" s="14" t="n">
        <x:v>1215121.035</x:v>
      </x:c>
      <x:c r="T90" s="13" t="str">
        <x:v>АФК_Система_МСФО_2025.pdf</x:v>
      </x:c>
      <x:c r="U90" s="13" t="str">
        <x:v>8, 9</x:v>
      </x:c>
      <x:c r="V90" s="13" t="str">
        <x:v>Подтверждено</x:v>
      </x:c>
    </x:row>
    <x:row r="91">
      <x:c r="A91" s="15" t="str">
        <x:v>АФК Система</x:v>
      </x:c>
      <x:c r="B91" s="15" t="str">
        <x:v>AFKS</x:v>
      </x:c>
      <x:c r="C91" s="15" t="n">
        <x:v>2025</x:v>
      </x:c>
      <x:c r="D91" s="15" t="str">
        <x:v>RUB</x:v>
      </x:c>
      <x:c r="E91" s="16" t="n">
        <x:v>1332474.244</x:v>
      </x:c>
      <x:c r="F91" s="16" t="n">
        <x:v>-232490.086</x:v>
      </x:c>
      <x:c r="G91" s="16"/>
      <x:c r="H91" s="16"/>
      <x:c r="I91" s="16"/>
      <x:c r="J91" s="16"/>
      <x:c r="K91" s="16" t="n">
        <x:v>306184.702</x:v>
      </x:c>
      <x:c r="L91" s="16"/>
      <x:c r="M91" s="16"/>
      <x:c r="N91" s="16"/>
      <x:c r="O91" s="16"/>
      <x:c r="P91" s="16"/>
      <x:c r="Q91" s="16"/>
      <x:c r="R91" s="16"/>
      <x:c r="S91" s="16" t="n">
        <x:v>1328832.536</x:v>
      </x:c>
      <x:c r="T91" s="15" t="str">
        <x:v>АФК_Система_МСФО_2025.pdf</x:v>
      </x:c>
      <x:c r="U91" s="15" t="str">
        <x:v>8, 9</x:v>
      </x:c>
      <x:c r="V91" s="15" t="str">
        <x:v>Подтверждено</x:v>
      </x:c>
    </x:row>
  </x:sheetData>
  <x:mergeCells>
    <x:mergeCell ref="A1:V1"/>
    <x:mergeCell ref="A2:V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2" hidden="0" customWidth="1"/>
    <x:col min="3" max="3" width="12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54" hidden="0" customWidth="1"/>
    <x:col min="20" max="20" width="54" hidden="0" customWidth="1"/>
    <x:col min="21" max="21" width="18" hidden="0" customWidth="1"/>
    <x:col min="22" max="22" width="18" hidden="0" customWidth="1"/>
  </x:cols>
  <x:sheetData>
    <x:row r="1" ht="27" customHeight="1">
      <x:c r="A1" s="2" t="str">
        <x:v>EBITDA: виды, источники и расчетная проверка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 ht="38" customHeight="1">
      <x:c r="A2" s="8" t="str">
        <x:v>Внутри каждого вида EBITDA одинаковая разбивка: МСФО / отчет эмитента / презентация или пресс-релиз. Если конкретный источник не раскрывает показатель, указано н.д.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</x:row>
    <x:row r="4">
      <x:c r="A4" s="19" t="str">
        <x:v>Компания</x:v>
      </x:c>
      <x:c r="B4" s="19" t="str">
        <x:v>Тикер</x:v>
      </x:c>
      <x:c r="C4" s="19" t="str">
        <x:v>Год</x:v>
      </x:c>
      <x:c r="D4" s="21" t="str">
        <x:v>EBITDA</x:v>
      </x:c>
      <x:c r="E4" s="21"/>
      <x:c r="F4" s="21"/>
      <x:c r="G4" s="21" t="str">
        <x:v>Скорр. EBITDA</x:v>
      </x:c>
      <x:c r="H4" s="21"/>
      <x:c r="I4" s="21"/>
      <x:c r="J4" s="21" t="str">
        <x:v>EBITDA до применения МСФО 16</x:v>
      </x:c>
      <x:c r="K4" s="21"/>
      <x:c r="L4" s="21"/>
      <x:c r="M4" s="21" t="str">
        <x:v>EBITDAC</x:v>
      </x:c>
      <x:c r="N4" s="21"/>
      <x:c r="O4" s="21"/>
      <x:c r="P4" s="21" t="str">
        <x:v>OIBDA</x:v>
      </x:c>
      <x:c r="Q4" s="21"/>
      <x:c r="R4" s="21"/>
      <x:c r="S4" s="9" t="str">
        <x:v>Методика компании</x:v>
      </x:c>
      <x:c r="T4" s="9" t="str">
        <x:v>Показатели МСФО для расчета</x:v>
      </x:c>
      <x:c r="U4" s="9" t="str">
        <x:v>Расчетная EBITDA</x:v>
      </x:c>
      <x:c r="V4" s="9" t="str">
        <x:v>Разница с раскрытой</x:v>
      </x:c>
    </x:row>
    <x:row r="5" ht="42" customHeight="1">
      <x:c r="A5" s="19"/>
      <x:c r="B5" s="19"/>
      <x:c r="C5" s="19"/>
      <x:c r="D5" s="5" t="str">
        <x:v>МСФО</x:v>
      </x:c>
      <x:c r="E5" s="5" t="str">
        <x:v>Отчет эмитента</x:v>
      </x:c>
      <x:c r="F5" s="5" t="str">
        <x:v>Презентация / пресс-релиз</x:v>
      </x:c>
      <x:c r="G5" s="5" t="str">
        <x:v>МСФО</x:v>
      </x:c>
      <x:c r="H5" s="5" t="str">
        <x:v>Отчет эмитента</x:v>
      </x:c>
      <x:c r="I5" s="5" t="str">
        <x:v>Презентация / пресс-релиз</x:v>
      </x:c>
      <x:c r="J5" s="5" t="str">
        <x:v>МСФО</x:v>
      </x:c>
      <x:c r="K5" s="5" t="str">
        <x:v>Отчет эмитента</x:v>
      </x:c>
      <x:c r="L5" s="5" t="str">
        <x:v>Презентация / пресс-релиз</x:v>
      </x:c>
      <x:c r="M5" s="5" t="str">
        <x:v>МСФО</x:v>
      </x:c>
      <x:c r="N5" s="5" t="str">
        <x:v>Отчет эмитента</x:v>
      </x:c>
      <x:c r="O5" s="5" t="str">
        <x:v>Презентация / пресс-релиз</x:v>
      </x:c>
      <x:c r="P5" s="5" t="str">
        <x:v>МСФО</x:v>
      </x:c>
      <x:c r="Q5" s="5" t="str">
        <x:v>Отчет эмитента</x:v>
      </x:c>
      <x:c r="R5" s="5" t="str">
        <x:v>Презентация / пресс-релиз</x:v>
      </x:c>
      <x:c r="S5" s="9"/>
      <x:c r="T5" s="9"/>
      <x:c r="U5" s="9"/>
      <x:c r="V5" s="9"/>
    </x:row>
    <x:row r="6">
      <x:c r="A6" s="11" t="str">
        <x:v>ЛУКОЙЛ</x:v>
      </x:c>
      <x:c r="B6" s="11" t="str">
        <x:v>LKOH</x:v>
      </x:c>
      <x:c r="C6" s="11" t="n">
        <x:v>2024</x:v>
      </x:c>
      <x:c r="D6" s="12" t="n">
        <x:v>1390131</x:v>
      </x:c>
      <x:c r="E6" s="12" t="n">
        <x:v>1390131</x:v>
      </x:c>
      <x:c r="F6" s="12" t="str">
        <x:v>н.д.</x:v>
      </x:c>
      <x:c r="G6" s="12" t="str">
        <x:v>н.д.</x:v>
      </x:c>
      <x:c r="H6" s="12" t="str">
        <x:v>н.д.</x:v>
      </x:c>
      <x:c r="I6" s="12" t="str">
        <x:v>н.д.</x:v>
      </x:c>
      <x:c r="J6" s="12" t="str">
        <x:v>н.п.</x:v>
      </x:c>
      <x:c r="K6" s="12" t="str">
        <x:v>н.п.</x:v>
      </x:c>
      <x:c r="L6" s="12" t="str">
        <x:v>н.п.</x:v>
      </x:c>
      <x:c r="M6" s="12" t="str">
        <x:v>н.п.</x:v>
      </x:c>
      <x:c r="N6" s="12" t="str">
        <x:v>н.п.</x:v>
      </x:c>
      <x:c r="O6" s="12" t="str">
        <x:v>н.п.</x:v>
      </x:c>
      <x:c r="P6" s="12" t="str">
        <x:v>н.п.</x:v>
      </x:c>
      <x:c r="Q6" s="12" t="str">
        <x:v>н.п.</x:v>
      </x:c>
      <x:c r="R6" s="12" t="str">
        <x:v>н.п.</x:v>
      </x:c>
      <x:c r="S6" s="22" t="str">
        <x:v>н.д.</x:v>
      </x:c>
      <x:c r="T6" s="22" t="str">
        <x:v>н.д.</x:v>
      </x:c>
      <x:c r="U6" s="12" t="str">
        <x:v>н.д.</x:v>
      </x:c>
      <x:c r="V6" s="12" t="str">
        <x:v>н.д.</x:v>
      </x:c>
    </x:row>
    <x:row r="7">
      <x:c r="A7" s="13" t="str">
        <x:v>ЛУКОЙЛ</x:v>
      </x:c>
      <x:c r="B7" s="13" t="str">
        <x:v>LKOH</x:v>
      </x:c>
      <x:c r="C7" s="13" t="n">
        <x:v>2025</x:v>
      </x:c>
      <x:c r="D7" s="14" t="n">
        <x:v>892086</x:v>
      </x:c>
      <x:c r="E7" s="14" t="n">
        <x:v>892086</x:v>
      </x:c>
      <x:c r="F7" s="14" t="str">
        <x:v>н.д.</x:v>
      </x:c>
      <x:c r="G7" s="14" t="str">
        <x:v>н.д.</x:v>
      </x:c>
      <x:c r="H7" s="14" t="str">
        <x:v>н.д.</x:v>
      </x:c>
      <x:c r="I7" s="14" t="str">
        <x:v>н.д.</x:v>
      </x:c>
      <x:c r="J7" s="14" t="str">
        <x:v>н.п.</x:v>
      </x:c>
      <x:c r="K7" s="14" t="str">
        <x:v>н.п.</x:v>
      </x:c>
      <x:c r="L7" s="14" t="str">
        <x:v>н.п.</x:v>
      </x:c>
      <x:c r="M7" s="14" t="str">
        <x:v>н.п.</x:v>
      </x:c>
      <x:c r="N7" s="14" t="str">
        <x:v>н.п.</x:v>
      </x:c>
      <x:c r="O7" s="14" t="str">
        <x:v>н.п.</x:v>
      </x:c>
      <x:c r="P7" s="14" t="str">
        <x:v>н.п.</x:v>
      </x:c>
      <x:c r="Q7" s="14" t="str">
        <x:v>н.п.</x:v>
      </x:c>
      <x:c r="R7" s="14" t="str">
        <x:v>н.п.</x:v>
      </x:c>
      <x:c r="S7" s="23" t="str">
        <x:v>н.д.</x:v>
      </x:c>
      <x:c r="T7" s="23" t="str">
        <x:v>н.д.</x:v>
      </x:c>
      <x:c r="U7" s="14" t="str">
        <x:v>н.д.</x:v>
      </x:c>
      <x:c r="V7" s="14" t="str">
        <x:v>н.д.</x:v>
      </x:c>
    </x:row>
    <x:row r="8">
      <x:c r="A8" s="13" t="str">
        <x:v>ГАЗПРОМ</x:v>
      </x:c>
      <x:c r="B8" s="13" t="str">
        <x:v>GAZP</x:v>
      </x:c>
      <x:c r="C8" s="13" t="n">
        <x:v>2024</x:v>
      </x:c>
      <x:c r="D8" s="14" t="n">
        <x:v>3107875</x:v>
      </x:c>
      <x:c r="E8" s="14" t="n">
        <x:v>3107875</x:v>
      </x:c>
      <x:c r="F8" s="14" t="str">
        <x:v>н.д.</x:v>
      </x:c>
      <x:c r="G8" s="14" t="str">
        <x:v>н.д.</x:v>
      </x:c>
      <x:c r="H8" s="14" t="str">
        <x:v>н.д.</x:v>
      </x:c>
      <x:c r="I8" s="14" t="str">
        <x:v>н.д.</x:v>
      </x:c>
      <x:c r="J8" s="14" t="str">
        <x:v>н.п.</x:v>
      </x:c>
      <x:c r="K8" s="14" t="str">
        <x:v>н.п.</x:v>
      </x:c>
      <x:c r="L8" s="14" t="str">
        <x:v>н.п.</x:v>
      </x:c>
      <x:c r="M8" s="14" t="str">
        <x:v>н.п.</x:v>
      </x:c>
      <x:c r="N8" s="14" t="str">
        <x:v>н.п.</x:v>
      </x:c>
      <x:c r="O8" s="14" t="str">
        <x:v>н.п.</x:v>
      </x:c>
      <x:c r="P8" s="14" t="str">
        <x:v>н.п.</x:v>
      </x:c>
      <x:c r="Q8" s="14" t="str">
        <x:v>н.п.</x:v>
      </x:c>
      <x:c r="R8" s="14" t="str">
        <x:v>н.п.</x:v>
      </x:c>
      <x:c r="S8" s="23" t="str">
        <x:v>Операционная прибыль + амортизация + обесценение активов − соответствующие резервы</x:v>
      </x:c>
      <x:c r="T8" s="23" t="str">
        <x:v>2025: 1 309 766 + 1 433 790 + 100 873 + 176 019 − 100 873 − 2 243</x:v>
      </x:c>
      <x:c r="U8" s="14" t="str">
        <x:v>н.д.</x:v>
      </x:c>
      <x:c r="V8" s="14" t="str">
        <x:v>н.д.</x:v>
      </x:c>
    </x:row>
    <x:row r="9">
      <x:c r="A9" s="13" t="str">
        <x:v>ГАЗПРОМ</x:v>
      </x:c>
      <x:c r="B9" s="13" t="str">
        <x:v>GAZP</x:v>
      </x:c>
      <x:c r="C9" s="13" t="n">
        <x:v>2025</x:v>
      </x:c>
      <x:c r="D9" s="14" t="n">
        <x:v>2917332</x:v>
      </x:c>
      <x:c r="E9" s="14" t="n">
        <x:v>2917332</x:v>
      </x:c>
      <x:c r="F9" s="14" t="str">
        <x:v>н.д.</x:v>
      </x:c>
      <x:c r="G9" s="14" t="str">
        <x:v>н.д.</x:v>
      </x:c>
      <x:c r="H9" s="14" t="str">
        <x:v>н.д.</x:v>
      </x:c>
      <x:c r="I9" s="14" t="str">
        <x:v>н.д.</x:v>
      </x:c>
      <x:c r="J9" s="14" t="str">
        <x:v>н.п.</x:v>
      </x:c>
      <x:c r="K9" s="14" t="str">
        <x:v>н.п.</x:v>
      </x:c>
      <x:c r="L9" s="14" t="str">
        <x:v>н.п.</x:v>
      </x:c>
      <x:c r="M9" s="14" t="str">
        <x:v>н.п.</x:v>
      </x:c>
      <x:c r="N9" s="14" t="str">
        <x:v>н.п.</x:v>
      </x:c>
      <x:c r="O9" s="14" t="str">
        <x:v>н.п.</x:v>
      </x:c>
      <x:c r="P9" s="14" t="str">
        <x:v>н.п.</x:v>
      </x:c>
      <x:c r="Q9" s="14" t="str">
        <x:v>н.п.</x:v>
      </x:c>
      <x:c r="R9" s="14" t="str">
        <x:v>н.п.</x:v>
      </x:c>
      <x:c r="S9" s="23" t="str">
        <x:v>Операционная прибыль + амортизация + обесценение активов − соответствующие резервы</x:v>
      </x:c>
      <x:c r="T9" s="23" t="str">
        <x:v>2025: 1 309 766 + 1 433 790 + 100 873 + 176 019 − 100 873 − 2 243</x:v>
      </x:c>
      <x:c r="U9" s="14" t="n">
        <x:v>2917332</x:v>
      </x:c>
      <x:c r="V9" s="14" t="n">
        <x:v>0</x:v>
      </x:c>
    </x:row>
    <x:row r="10">
      <x:c r="A10" s="13" t="str">
        <x:v>ЯНДЕКС</x:v>
      </x:c>
      <x:c r="B10" s="13" t="str">
        <x:v>YDEX</x:v>
      </x:c>
      <x:c r="C10" s="13" t="n">
        <x:v>2024</x:v>
      </x:c>
      <x:c r="D10" s="14" t="str">
        <x:v>н.д.</x:v>
      </x:c>
      <x:c r="E10" s="14" t="str">
        <x:v>н.д.</x:v>
      </x:c>
      <x:c r="F10" s="14" t="str">
        <x:v>н.д.</x:v>
      </x:c>
      <x:c r="G10" s="14" t="n">
        <x:v>188601</x:v>
      </x:c>
      <x:c r="H10" s="14" t="n">
        <x:v>188601</x:v>
      </x:c>
      <x:c r="I10" s="14" t="str">
        <x:v>н.д.</x:v>
      </x:c>
      <x:c r="J10" s="14" t="str">
        <x:v>н.п.</x:v>
      </x:c>
      <x:c r="K10" s="14" t="str">
        <x:v>н.п.</x:v>
      </x:c>
      <x:c r="L10" s="14" t="str">
        <x:v>н.п.</x:v>
      </x:c>
      <x:c r="M10" s="14" t="str">
        <x:v>н.д.</x:v>
      </x:c>
      <x:c r="N10" s="14" t="str">
        <x:v>н.д.</x:v>
      </x:c>
      <x:c r="O10" s="14" t="str">
        <x:v>н.д.</x:v>
      </x:c>
      <x:c r="P10" s="14" t="str">
        <x:v>н.п.</x:v>
      </x:c>
      <x:c r="Q10" s="14" t="str">
        <x:v>н.п.</x:v>
      </x:c>
      <x:c r="R10" s="14" t="str">
        <x:v>н.п.</x:v>
      </x:c>
      <x:c r="S10" s="23" t="str">
        <x:v>Чистая прибыль до амортизации, налога, финансовых статей и иных корректировок по определению компании</x:v>
      </x:c>
      <x:c r="T10" s="23" t="str">
        <x:v>Полный набор корректировок требует детализации примечаний МСФО</x:v>
      </x:c>
      <x:c r="U10" s="14" t="str">
        <x:v>н.д.</x:v>
      </x:c>
      <x:c r="V10" s="14" t="str">
        <x:v>н.д.</x:v>
      </x:c>
    </x:row>
    <x:row r="11">
      <x:c r="A11" s="13" t="str">
        <x:v>ЯНДЕКС</x:v>
      </x:c>
      <x:c r="B11" s="13" t="str">
        <x:v>YDEX</x:v>
      </x:c>
      <x:c r="C11" s="13" t="n">
        <x:v>2025</x:v>
      </x:c>
      <x:c r="D11" s="14" t="str">
        <x:v>н.д.</x:v>
      </x:c>
      <x:c r="E11" s="14" t="str">
        <x:v>н.д.</x:v>
      </x:c>
      <x:c r="F11" s="14" t="str">
        <x:v>н.д.</x:v>
      </x:c>
      <x:c r="G11" s="14" t="n">
        <x:v>280834</x:v>
      </x:c>
      <x:c r="H11" s="14" t="n">
        <x:v>280834</x:v>
      </x:c>
      <x:c r="I11" s="14" t="n">
        <x:v>280834</x:v>
      </x:c>
      <x:c r="J11" s="14" t="str">
        <x:v>н.п.</x:v>
      </x:c>
      <x:c r="K11" s="14" t="str">
        <x:v>н.п.</x:v>
      </x:c>
      <x:c r="L11" s="14" t="str">
        <x:v>н.п.</x:v>
      </x:c>
      <x:c r="M11" s="14" t="str">
        <x:v>н.д.</x:v>
      </x:c>
      <x:c r="N11" s="14" t="str">
        <x:v>н.д.</x:v>
      </x:c>
      <x:c r="O11" s="14" t="str">
        <x:v>н.д.</x:v>
      </x:c>
      <x:c r="P11" s="14" t="str">
        <x:v>н.п.</x:v>
      </x:c>
      <x:c r="Q11" s="14" t="str">
        <x:v>н.п.</x:v>
      </x:c>
      <x:c r="R11" s="14" t="str">
        <x:v>н.п.</x:v>
      </x:c>
      <x:c r="S11" s="23" t="str">
        <x:v>Чистая прибыль до амортизации, налога, финансовых статей и иных корректировок по определению компании</x:v>
      </x:c>
      <x:c r="T11" s="23" t="str">
        <x:v>Полный набор корректировок требует детализации примечаний МСФО</x:v>
      </x:c>
      <x:c r="U11" s="14" t="str">
        <x:v>н.д.</x:v>
      </x:c>
      <x:c r="V11" s="14" t="str">
        <x:v>н.д.</x:v>
      </x:c>
    </x:row>
    <x:row r="12">
      <x:c r="A12" s="13" t="str">
        <x:v>Т-Технологии</x:v>
      </x:c>
      <x:c r="B12" s="13" t="str">
        <x:v>T</x:v>
      </x:c>
      <x:c r="C12" s="13" t="n">
        <x:v>2024</x:v>
      </x:c>
      <x:c r="D12" s="14" t="str">
        <x:v>н.д.</x:v>
      </x:c>
      <x:c r="E12" s="14" t="str">
        <x:v>н.д.</x:v>
      </x:c>
      <x:c r="F12" s="14" t="str">
        <x:v>н.д.</x:v>
      </x:c>
      <x:c r="G12" s="14" t="str">
        <x:v>н.д.</x:v>
      </x:c>
      <x:c r="H12" s="14" t="str">
        <x:v>н.д.</x:v>
      </x:c>
      <x:c r="I12" s="14" t="str">
        <x:v>н.д.</x:v>
      </x:c>
      <x:c r="J12" s="14" t="str">
        <x:v>н.п.</x:v>
      </x:c>
      <x:c r="K12" s="14" t="str">
        <x:v>н.п.</x:v>
      </x:c>
      <x:c r="L12" s="14" t="str">
        <x:v>н.п.</x:v>
      </x:c>
      <x:c r="M12" s="14" t="str">
        <x:v>н.д.</x:v>
      </x:c>
      <x:c r="N12" s="14" t="str">
        <x:v>н.д.</x:v>
      </x:c>
      <x:c r="O12" s="14" t="str">
        <x:v>н.д.</x:v>
      </x:c>
      <x:c r="P12" s="14" t="str">
        <x:v>н.д.</x:v>
      </x:c>
      <x:c r="Q12" s="14" t="n">
        <x:v>178426</x:v>
      </x:c>
      <x:c r="R12" s="14" t="str">
        <x:v>н.д.</x:v>
      </x:c>
      <x:c r="S12" s="23" t="str">
        <x:v>н.д.</x:v>
      </x:c>
      <x:c r="T12" s="23" t="str">
        <x:v>н.д.</x:v>
      </x:c>
      <x:c r="U12" s="14" t="str">
        <x:v>н.д.</x:v>
      </x:c>
      <x:c r="V12" s="14" t="str">
        <x:v>н.д.</x:v>
      </x:c>
    </x:row>
    <x:row r="13">
      <x:c r="A13" s="13" t="str">
        <x:v>Т-Технологии</x:v>
      </x:c>
      <x:c r="B13" s="13" t="str">
        <x:v>T</x:v>
      </x:c>
      <x:c r="C13" s="13" t="n">
        <x:v>2025</x:v>
      </x:c>
      <x:c r="D13" s="14" t="str">
        <x:v>н.д.</x:v>
      </x:c>
      <x:c r="E13" s="14" t="str">
        <x:v>н.д.</x:v>
      </x:c>
      <x:c r="F13" s="14" t="str">
        <x:v>н.д.</x:v>
      </x:c>
      <x:c r="G13" s="14" t="str">
        <x:v>н.д.</x:v>
      </x:c>
      <x:c r="H13" s="14" t="str">
        <x:v>н.д.</x:v>
      </x:c>
      <x:c r="I13" s="14" t="str">
        <x:v>н.д.</x:v>
      </x:c>
      <x:c r="J13" s="14" t="str">
        <x:v>н.п.</x:v>
      </x:c>
      <x:c r="K13" s="14" t="str">
        <x:v>н.п.</x:v>
      </x:c>
      <x:c r="L13" s="14" t="str">
        <x:v>н.п.</x:v>
      </x:c>
      <x:c r="M13" s="14" t="str">
        <x:v>н.д.</x:v>
      </x:c>
      <x:c r="N13" s="14" t="str">
        <x:v>н.д.</x:v>
      </x:c>
      <x:c r="O13" s="14" t="str">
        <x:v>н.д.</x:v>
      </x:c>
      <x:c r="P13" s="14" t="str">
        <x:v>н.д.</x:v>
      </x:c>
      <x:c r="Q13" s="14" t="n">
        <x:v>295253</x:v>
      </x:c>
      <x:c r="R13" s="14" t="str">
        <x:v>н.д.</x:v>
      </x:c>
      <x:c r="S13" s="23" t="str">
        <x:v>н.д.</x:v>
      </x:c>
      <x:c r="T13" s="23" t="str">
        <x:v>н.д.</x:v>
      </x:c>
      <x:c r="U13" s="14" t="str">
        <x:v>н.д.</x:v>
      </x:c>
      <x:c r="V13" s="14" t="str">
        <x:v>н.д.</x:v>
      </x:c>
    </x:row>
    <x:row r="14">
      <x:c r="A14" s="13" t="str">
        <x:v>Татнефть</x:v>
      </x:c>
      <x:c r="B14" s="13" t="str">
        <x:v>TATN</x:v>
      </x:c>
      <x:c r="C14" s="13" t="n">
        <x:v>2024</x:v>
      </x:c>
      <x:c r="D14" s="14" t="str">
        <x:v>н.д.</x:v>
      </x:c>
      <x:c r="E14" s="14" t="n">
        <x:v>478372</x:v>
      </x:c>
      <x:c r="F14" s="14" t="str">
        <x:v>н.д.</x:v>
      </x:c>
      <x:c r="G14" s="14" t="str">
        <x:v>н.д.</x:v>
      </x:c>
      <x:c r="H14" s="14" t="str">
        <x:v>н.д.</x:v>
      </x:c>
      <x:c r="I14" s="14" t="str">
        <x:v>н.д.</x:v>
      </x:c>
      <x:c r="J14" s="14" t="str">
        <x:v>н.п.</x:v>
      </x:c>
      <x:c r="K14" s="14" t="str">
        <x:v>н.п.</x:v>
      </x:c>
      <x:c r="L14" s="14" t="str">
        <x:v>н.п.</x:v>
      </x:c>
      <x:c r="M14" s="14" t="str">
        <x:v>н.п.</x:v>
      </x:c>
      <x:c r="N14" s="14" t="str">
        <x:v>н.п.</x:v>
      </x:c>
      <x:c r="O14" s="14" t="str">
        <x:v>н.п.</x:v>
      </x:c>
      <x:c r="P14" s="14" t="str">
        <x:v>н.п.</x:v>
      </x:c>
      <x:c r="Q14" s="14" t="str">
        <x:v>н.п.</x:v>
      </x:c>
      <x:c r="R14" s="14" t="str">
        <x:v>н.п.</x:v>
      </x:c>
      <x:c r="S14" s="23" t="str">
        <x:v>н.д.</x:v>
      </x:c>
      <x:c r="T14" s="23" t="str">
        <x:v>н.д.</x:v>
      </x:c>
      <x:c r="U14" s="14" t="str">
        <x:v>н.д.</x:v>
      </x:c>
      <x:c r="V14" s="14" t="str">
        <x:v>н.д.</x:v>
      </x:c>
    </x:row>
    <x:row r="15">
      <x:c r="A15" s="13" t="str">
        <x:v>Татнефть</x:v>
      </x:c>
      <x:c r="B15" s="13" t="str">
        <x:v>TATN</x:v>
      </x:c>
      <x:c r="C15" s="13" t="n">
        <x:v>2025</x:v>
      </x:c>
      <x:c r="D15" s="14" t="str">
        <x:v>н.д.</x:v>
      </x:c>
      <x:c r="E15" s="14" t="n">
        <x:v>332877</x:v>
      </x:c>
      <x:c r="F15" s="14" t="str">
        <x:v>н.д.</x:v>
      </x:c>
      <x:c r="G15" s="14" t="str">
        <x:v>н.д.</x:v>
      </x:c>
      <x:c r="H15" s="14" t="str">
        <x:v>н.д.</x:v>
      </x:c>
      <x:c r="I15" s="14" t="str">
        <x:v>н.д.</x:v>
      </x:c>
      <x:c r="J15" s="14" t="str">
        <x:v>н.п.</x:v>
      </x:c>
      <x:c r="K15" s="14" t="str">
        <x:v>н.п.</x:v>
      </x:c>
      <x:c r="L15" s="14" t="str">
        <x:v>н.п.</x:v>
      </x:c>
      <x:c r="M15" s="14" t="str">
        <x:v>н.п.</x:v>
      </x:c>
      <x:c r="N15" s="14" t="str">
        <x:v>н.п.</x:v>
      </x:c>
      <x:c r="O15" s="14" t="str">
        <x:v>н.п.</x:v>
      </x:c>
      <x:c r="P15" s="14" t="str">
        <x:v>н.п.</x:v>
      </x:c>
      <x:c r="Q15" s="14" t="str">
        <x:v>н.п.</x:v>
      </x:c>
      <x:c r="R15" s="14" t="str">
        <x:v>н.п.</x:v>
      </x:c>
      <x:c r="S15" s="23" t="str">
        <x:v>н.д.</x:v>
      </x:c>
      <x:c r="T15" s="23" t="str">
        <x:v>н.д.</x:v>
      </x:c>
      <x:c r="U15" s="14" t="str">
        <x:v>н.д.</x:v>
      </x:c>
      <x:c r="V15" s="14" t="str">
        <x:v>н.д.</x:v>
      </x:c>
    </x:row>
    <x:row r="16">
      <x:c r="A16" s="13" t="str">
        <x:v>Новатэк</x:v>
      </x:c>
      <x:c r="B16" s="13" t="str">
        <x:v>NVTK</x:v>
      </x:c>
      <x:c r="C16" s="13" t="n">
        <x:v>2024</x:v>
      </x:c>
      <x:c r="D16" s="14" t="str">
        <x:v>н.д.</x:v>
      </x:c>
      <x:c r="E16" s="14" t="str">
        <x:v>н.д.</x:v>
      </x:c>
      <x:c r="F16" s="14" t="str">
        <x:v>н.д.</x:v>
      </x:c>
      <x:c r="G16" s="14" t="str">
        <x:v>н.д.</x:v>
      </x:c>
      <x:c r="H16" s="14" t="n">
        <x:v>1007614</x:v>
      </x:c>
      <x:c r="I16" s="14" t="str">
        <x:v>н.д.</x:v>
      </x:c>
      <x:c r="J16" s="14" t="str">
        <x:v>н.п.</x:v>
      </x:c>
      <x:c r="K16" s="14" t="str">
        <x:v>н.п.</x:v>
      </x:c>
      <x:c r="L16" s="14" t="str">
        <x:v>н.п.</x:v>
      </x:c>
      <x:c r="M16" s="14" t="str">
        <x:v>н.п.</x:v>
      </x:c>
      <x:c r="N16" s="14" t="str">
        <x:v>н.п.</x:v>
      </x:c>
      <x:c r="O16" s="14" t="str">
        <x:v>н.п.</x:v>
      </x:c>
      <x:c r="P16" s="14" t="str">
        <x:v>н.п.</x:v>
      </x:c>
      <x:c r="Q16" s="14" t="str">
        <x:v>н.п.</x:v>
      </x:c>
      <x:c r="R16" s="14" t="str">
        <x:v>н.п.</x:v>
      </x:c>
      <x:c r="S16" s="23" t="str">
        <x:v>н.д.</x:v>
      </x:c>
      <x:c r="T16" s="23" t="str">
        <x:v>н.д.</x:v>
      </x:c>
      <x:c r="U16" s="14" t="str">
        <x:v>н.д.</x:v>
      </x:c>
      <x:c r="V16" s="14" t="str">
        <x:v>н.д.</x:v>
      </x:c>
    </x:row>
    <x:row r="17">
      <x:c r="A17" s="13" t="str">
        <x:v>Новатэк</x:v>
      </x:c>
      <x:c r="B17" s="13" t="str">
        <x:v>NVTK</x:v>
      </x:c>
      <x:c r="C17" s="13" t="n">
        <x:v>2025</x:v>
      </x:c>
      <x:c r="D17" s="14" t="str">
        <x:v>н.д.</x:v>
      </x:c>
      <x:c r="E17" s="14" t="str">
        <x:v>н.д.</x:v>
      </x:c>
      <x:c r="F17" s="14" t="str">
        <x:v>н.д.</x:v>
      </x:c>
      <x:c r="G17" s="14" t="str">
        <x:v>н.д.</x:v>
      </x:c>
      <x:c r="H17" s="14" t="n">
        <x:v>859306</x:v>
      </x:c>
      <x:c r="I17" s="14" t="str">
        <x:v>н.д.</x:v>
      </x:c>
      <x:c r="J17" s="14" t="str">
        <x:v>н.п.</x:v>
      </x:c>
      <x:c r="K17" s="14" t="str">
        <x:v>н.п.</x:v>
      </x:c>
      <x:c r="L17" s="14" t="str">
        <x:v>н.п.</x:v>
      </x:c>
      <x:c r="M17" s="14" t="str">
        <x:v>н.п.</x:v>
      </x:c>
      <x:c r="N17" s="14" t="str">
        <x:v>н.п.</x:v>
      </x:c>
      <x:c r="O17" s="14" t="str">
        <x:v>н.п.</x:v>
      </x:c>
      <x:c r="P17" s="14" t="str">
        <x:v>н.п.</x:v>
      </x:c>
      <x:c r="Q17" s="14" t="str">
        <x:v>н.п.</x:v>
      </x:c>
      <x:c r="R17" s="14" t="str">
        <x:v>н.п.</x:v>
      </x:c>
      <x:c r="S17" s="23" t="str">
        <x:v>н.д.</x:v>
      </x:c>
      <x:c r="T17" s="23" t="str">
        <x:v>н.д.</x:v>
      </x:c>
      <x:c r="U17" s="14" t="str">
        <x:v>н.д.</x:v>
      </x:c>
      <x:c r="V17" s="14" t="str">
        <x:v>н.д.</x:v>
      </x:c>
    </x:row>
    <x:row r="18">
      <x:c r="A18" s="17" t="str">
        <x:v>Норникель</x:v>
      </x:c>
      <x:c r="B18" s="17" t="str">
        <x:v>GMKN</x:v>
      </x:c>
      <x:c r="C18" s="17" t="n">
        <x:v>2024</x:v>
      </x:c>
      <x:c r="D18" s="18" t="n">
        <x:v>5196</x:v>
      </x:c>
      <x:c r="E18" s="18" t="n">
        <x:v>481765</x:v>
      </x:c>
      <x:c r="F18" s="18" t="str">
        <x:v>н.д.</x:v>
      </x:c>
      <x:c r="G18" s="18" t="str">
        <x:v>н.д.</x:v>
      </x:c>
      <x:c r="H18" s="18" t="str">
        <x:v>н.д.</x:v>
      </x:c>
      <x:c r="I18" s="18" t="str">
        <x:v>н.д.</x:v>
      </x:c>
      <x:c r="J18" s="18" t="str">
        <x:v>н.п.</x:v>
      </x:c>
      <x:c r="K18" s="18" t="str">
        <x:v>н.п.</x:v>
      </x:c>
      <x:c r="L18" s="18" t="str">
        <x:v>н.п.</x:v>
      </x:c>
      <x:c r="M18" s="18" t="str">
        <x:v>н.п.</x:v>
      </x:c>
      <x:c r="N18" s="18" t="str">
        <x:v>н.п.</x:v>
      </x:c>
      <x:c r="O18" s="18" t="str">
        <x:v>н.п.</x:v>
      </x:c>
      <x:c r="P18" s="18" t="str">
        <x:v>н.п.</x:v>
      </x:c>
      <x:c r="Q18" s="18" t="str">
        <x:v>н.п.</x:v>
      </x:c>
      <x:c r="R18" s="18" t="str">
        <x:v>н.п.</x:v>
      </x:c>
      <x:c r="S18" s="24" t="str">
        <x:v>EBITDA отчетных сегментов − нераспределенные статьи</x:v>
      </x:c>
      <x:c r="T18" s="24" t="str">
        <x:v>2025: 6 335 − 667</x:v>
      </x:c>
      <x:c r="U18" s="18" t="str">
        <x:v>н.д.</x:v>
      </x:c>
      <x:c r="V18" s="18" t="str">
        <x:v>н.д.</x:v>
      </x:c>
    </x:row>
    <x:row r="19">
      <x:c r="A19" s="17" t="str">
        <x:v>Норникель</x:v>
      </x:c>
      <x:c r="B19" s="17" t="str">
        <x:v>GMKN</x:v>
      </x:c>
      <x:c r="C19" s="17" t="n">
        <x:v>2025</x:v>
      </x:c>
      <x:c r="D19" s="18" t="n">
        <x:v>5668</x:v>
      </x:c>
      <x:c r="E19" s="18" t="n">
        <x:v>475066</x:v>
      </x:c>
      <x:c r="F19" s="18" t="str">
        <x:v>н.д.</x:v>
      </x:c>
      <x:c r="G19" s="18" t="str">
        <x:v>н.д.</x:v>
      </x:c>
      <x:c r="H19" s="18" t="str">
        <x:v>н.д.</x:v>
      </x:c>
      <x:c r="I19" s="18" t="str">
        <x:v>н.д.</x:v>
      </x:c>
      <x:c r="J19" s="18" t="str">
        <x:v>н.п.</x:v>
      </x:c>
      <x:c r="K19" s="18" t="str">
        <x:v>н.п.</x:v>
      </x:c>
      <x:c r="L19" s="18" t="str">
        <x:v>н.п.</x:v>
      </x:c>
      <x:c r="M19" s="18" t="str">
        <x:v>н.п.</x:v>
      </x:c>
      <x:c r="N19" s="18" t="str">
        <x:v>н.п.</x:v>
      </x:c>
      <x:c r="O19" s="18" t="str">
        <x:v>н.п.</x:v>
      </x:c>
      <x:c r="P19" s="18" t="str">
        <x:v>н.п.</x:v>
      </x:c>
      <x:c r="Q19" s="18" t="str">
        <x:v>н.п.</x:v>
      </x:c>
      <x:c r="R19" s="18" t="str">
        <x:v>н.п.</x:v>
      </x:c>
      <x:c r="S19" s="24" t="str">
        <x:v>EBITDA отчетных сегментов − нераспределенные статьи</x:v>
      </x:c>
      <x:c r="T19" s="24" t="str">
        <x:v>2025: 6 335 − 667</x:v>
      </x:c>
      <x:c r="U19" s="18" t="n">
        <x:v>5668</x:v>
      </x:c>
      <x:c r="V19" s="18" t="n">
        <x:v>0</x:v>
      </x:c>
    </x:row>
    <x:row r="20">
      <x:c r="A20" s="13" t="str">
        <x:v>Озон</x:v>
      </x:c>
      <x:c r="B20" s="13" t="str">
        <x:v>OZON</x:v>
      </x:c>
      <x:c r="C20" s="13" t="n">
        <x:v>2024</x:v>
      </x:c>
      <x:c r="D20" s="14" t="str">
        <x:v>н.д.</x:v>
      </x:c>
      <x:c r="E20" s="14" t="str">
        <x:v>н.д.</x:v>
      </x:c>
      <x:c r="F20" s="14" t="str">
        <x:v>н.д.</x:v>
      </x:c>
      <x:c r="G20" s="14" t="n">
        <x:v>40079</x:v>
      </x:c>
      <x:c r="H20" s="14" t="n">
        <x:v>40079</x:v>
      </x:c>
      <x:c r="I20" s="14" t="str">
        <x:v>н.д.</x:v>
      </x:c>
      <x:c r="J20" s="14" t="str">
        <x:v>н.п.</x:v>
      </x:c>
      <x:c r="K20" s="14" t="str">
        <x:v>н.п.</x:v>
      </x:c>
      <x:c r="L20" s="14" t="str">
        <x:v>н.п.</x:v>
      </x:c>
      <x:c r="M20" s="14" t="str">
        <x:v>н.д.</x:v>
      </x:c>
      <x:c r="N20" s="14" t="str">
        <x:v>н.д.</x:v>
      </x:c>
      <x:c r="O20" s="14" t="str">
        <x:v>н.д.</x:v>
      </x:c>
      <x:c r="P20" s="14" t="str">
        <x:v>н.п.</x:v>
      </x:c>
      <x:c r="Q20" s="14" t="str">
        <x:v>н.п.</x:v>
      </x:c>
      <x:c r="R20" s="14" t="str">
        <x:v>н.п.</x:v>
      </x:c>
      <x:c r="S20" s="23" t="str">
        <x:v>н.д.</x:v>
      </x:c>
      <x:c r="T20" s="23" t="str">
        <x:v>н.д.</x:v>
      </x:c>
      <x:c r="U20" s="14" t="str">
        <x:v>н.д.</x:v>
      </x:c>
      <x:c r="V20" s="14" t="str">
        <x:v>н.д.</x:v>
      </x:c>
    </x:row>
    <x:row r="21">
      <x:c r="A21" s="13" t="str">
        <x:v>Озон</x:v>
      </x:c>
      <x:c r="B21" s="13" t="str">
        <x:v>OZON</x:v>
      </x:c>
      <x:c r="C21" s="13" t="n">
        <x:v>2025</x:v>
      </x:c>
      <x:c r="D21" s="14" t="str">
        <x:v>н.д.</x:v>
      </x:c>
      <x:c r="E21" s="14" t="str">
        <x:v>н.д.</x:v>
      </x:c>
      <x:c r="F21" s="14" t="str">
        <x:v>н.д.</x:v>
      </x:c>
      <x:c r="G21" s="14" t="n">
        <x:v>156381</x:v>
      </x:c>
      <x:c r="H21" s="14" t="n">
        <x:v>156381</x:v>
      </x:c>
      <x:c r="I21" s="14" t="str">
        <x:v>н.д.</x:v>
      </x:c>
      <x:c r="J21" s="14" t="str">
        <x:v>н.п.</x:v>
      </x:c>
      <x:c r="K21" s="14" t="str">
        <x:v>н.п.</x:v>
      </x:c>
      <x:c r="L21" s="14" t="str">
        <x:v>н.п.</x:v>
      </x:c>
      <x:c r="M21" s="14" t="str">
        <x:v>н.д.</x:v>
      </x:c>
      <x:c r="N21" s="14" t="str">
        <x:v>н.д.</x:v>
      </x:c>
      <x:c r="O21" s="14" t="str">
        <x:v>н.д.</x:v>
      </x:c>
      <x:c r="P21" s="14" t="str">
        <x:v>н.п.</x:v>
      </x:c>
      <x:c r="Q21" s="14" t="str">
        <x:v>н.п.</x:v>
      </x:c>
      <x:c r="R21" s="14" t="str">
        <x:v>н.п.</x:v>
      </x:c>
      <x:c r="S21" s="23" t="str">
        <x:v>н.д.</x:v>
      </x:c>
      <x:c r="T21" s="23" t="str">
        <x:v>н.д.</x:v>
      </x:c>
      <x:c r="U21" s="14" t="str">
        <x:v>н.д.</x:v>
      </x:c>
      <x:c r="V21" s="14" t="str">
        <x:v>н.д.</x:v>
      </x:c>
    </x:row>
    <x:row r="22">
      <x:c r="A22" s="13" t="str">
        <x:v>X5</x:v>
      </x:c>
      <x:c r="B22" s="13" t="str">
        <x:v>X5</x:v>
      </x:c>
      <x:c r="C22" s="13" t="n">
        <x:v>2024</x:v>
      </x:c>
      <x:c r="D22" s="14" t="str">
        <x:v>н.д.</x:v>
      </x:c>
      <x:c r="E22" s="14" t="str">
        <x:v>н.д.</x:v>
      </x:c>
      <x:c r="F22" s="14" t="str">
        <x:v>н.д.</x:v>
      </x:c>
      <x:c r="G22" s="14" t="str">
        <x:v>н.д.</x:v>
      </x:c>
      <x:c r="H22" s="14" t="str">
        <x:v>н.д.</x:v>
      </x:c>
      <x:c r="I22" s="14" t="str">
        <x:v>н.д.</x:v>
      </x:c>
      <x:c r="J22" s="14" t="str">
        <x:v>н.д.</x:v>
      </x:c>
      <x:c r="K22" s="14" t="n">
        <x:v>399390</x:v>
      </x:c>
      <x:c r="L22" s="14" t="str">
        <x:v>н.д.</x:v>
      </x:c>
      <x:c r="M22" s="14" t="str">
        <x:v>н.п.</x:v>
      </x:c>
      <x:c r="N22" s="14" t="str">
        <x:v>н.п.</x:v>
      </x:c>
      <x:c r="O22" s="14" t="str">
        <x:v>н.п.</x:v>
      </x:c>
      <x:c r="P22" s="14" t="str">
        <x:v>н.п.</x:v>
      </x:c>
      <x:c r="Q22" s="14" t="str">
        <x:v>н.п.</x:v>
      </x:c>
      <x:c r="R22" s="14" t="str">
        <x:v>н.п.</x:v>
      </x:c>
      <x:c r="S22" s="23" t="str">
        <x:v>н.д.</x:v>
      </x:c>
      <x:c r="T22" s="23" t="str">
        <x:v>н.д.</x:v>
      </x:c>
      <x:c r="U22" s="14" t="str">
        <x:v>н.д.</x:v>
      </x:c>
      <x:c r="V22" s="14" t="str">
        <x:v>н.д.</x:v>
      </x:c>
    </x:row>
    <x:row r="23">
      <x:c r="A23" s="13" t="str">
        <x:v>X5</x:v>
      </x:c>
      <x:c r="B23" s="13" t="str">
        <x:v>X5</x:v>
      </x:c>
      <x:c r="C23" s="13" t="n">
        <x:v>2025</x:v>
      </x:c>
      <x:c r="D23" s="14" t="str">
        <x:v>н.д.</x:v>
      </x:c>
      <x:c r="E23" s="14" t="str">
        <x:v>н.д.</x:v>
      </x:c>
      <x:c r="F23" s="14" t="str">
        <x:v>н.д.</x:v>
      </x:c>
      <x:c r="G23" s="14" t="str">
        <x:v>н.д.</x:v>
      </x:c>
      <x:c r="H23" s="14" t="str">
        <x:v>н.д.</x:v>
      </x:c>
      <x:c r="I23" s="14" t="str">
        <x:v>н.д.</x:v>
      </x:c>
      <x:c r="J23" s="14" t="str">
        <x:v>н.д.</x:v>
      </x:c>
      <x:c r="K23" s="14" t="n">
        <x:v>440676</x:v>
      </x:c>
      <x:c r="L23" s="14" t="str">
        <x:v>н.д.</x:v>
      </x:c>
      <x:c r="M23" s="14" t="str">
        <x:v>н.п.</x:v>
      </x:c>
      <x:c r="N23" s="14" t="str">
        <x:v>н.п.</x:v>
      </x:c>
      <x:c r="O23" s="14" t="str">
        <x:v>н.п.</x:v>
      </x:c>
      <x:c r="P23" s="14" t="str">
        <x:v>н.п.</x:v>
      </x:c>
      <x:c r="Q23" s="14" t="str">
        <x:v>н.п.</x:v>
      </x:c>
      <x:c r="R23" s="14" t="str">
        <x:v>н.п.</x:v>
      </x:c>
      <x:c r="S23" s="23" t="str">
        <x:v>н.д.</x:v>
      </x:c>
      <x:c r="T23" s="23" t="str">
        <x:v>н.д.</x:v>
      </x:c>
      <x:c r="U23" s="14" t="str">
        <x:v>н.д.</x:v>
      </x:c>
      <x:c r="V23" s="14" t="str">
        <x:v>н.д.</x:v>
      </x:c>
    </x:row>
    <x:row r="24">
      <x:c r="A24" s="13" t="str">
        <x:v>Роснефть</x:v>
      </x:c>
      <x:c r="B24" s="13" t="str">
        <x:v>ROSN</x:v>
      </x:c>
      <x:c r="C24" s="13" t="n">
        <x:v>2024</x:v>
      </x:c>
      <x:c r="D24" s="14" t="str">
        <x:v>н.д.</x:v>
      </x:c>
      <x:c r="E24" s="14" t="n">
        <x:v>3029000</x:v>
      </x:c>
      <x:c r="F24" s="14" t="str">
        <x:v>н.д.</x:v>
      </x:c>
      <x:c r="G24" s="14" t="str">
        <x:v>н.д.</x:v>
      </x:c>
      <x:c r="H24" s="14" t="str">
        <x:v>н.д.</x:v>
      </x:c>
      <x:c r="I24" s="14" t="str">
        <x:v>н.д.</x:v>
      </x:c>
      <x:c r="J24" s="14" t="str">
        <x:v>н.п.</x:v>
      </x:c>
      <x:c r="K24" s="14" t="str">
        <x:v>н.п.</x:v>
      </x:c>
      <x:c r="L24" s="14" t="str">
        <x:v>н.п.</x:v>
      </x:c>
      <x:c r="M24" s="14" t="str">
        <x:v>н.п.</x:v>
      </x:c>
      <x:c r="N24" s="14" t="str">
        <x:v>н.п.</x:v>
      </x:c>
      <x:c r="O24" s="14" t="str">
        <x:v>н.п.</x:v>
      </x:c>
      <x:c r="P24" s="14" t="str">
        <x:v>н.п.</x:v>
      </x:c>
      <x:c r="Q24" s="14" t="str">
        <x:v>н.п.</x:v>
      </x:c>
      <x:c r="R24" s="14" t="str">
        <x:v>н.п.</x:v>
      </x:c>
      <x:c r="S24" s="23" t="str">
        <x:v>н.д.</x:v>
      </x:c>
      <x:c r="T24" s="23" t="str">
        <x:v>н.д.</x:v>
      </x:c>
      <x:c r="U24" s="14" t="str">
        <x:v>н.д.</x:v>
      </x:c>
      <x:c r="V24" s="14" t="str">
        <x:v>н.д.</x:v>
      </x:c>
    </x:row>
    <x:row r="25">
      <x:c r="A25" s="13" t="str">
        <x:v>Роснефть</x:v>
      </x:c>
      <x:c r="B25" s="13" t="str">
        <x:v>ROSN</x:v>
      </x:c>
      <x:c r="C25" s="13" t="n">
        <x:v>2025</x:v>
      </x:c>
      <x:c r="D25" s="14" t="str">
        <x:v>н.д.</x:v>
      </x:c>
      <x:c r="E25" s="14" t="n">
        <x:v>2173000</x:v>
      </x:c>
      <x:c r="F25" s="14" t="str">
        <x:v>н.д.</x:v>
      </x:c>
      <x:c r="G25" s="14" t="str">
        <x:v>н.д.</x:v>
      </x:c>
      <x:c r="H25" s="14" t="str">
        <x:v>н.д.</x:v>
      </x:c>
      <x:c r="I25" s="14" t="str">
        <x:v>н.д.</x:v>
      </x:c>
      <x:c r="J25" s="14" t="str">
        <x:v>н.п.</x:v>
      </x:c>
      <x:c r="K25" s="14" t="str">
        <x:v>н.п.</x:v>
      </x:c>
      <x:c r="L25" s="14" t="str">
        <x:v>н.п.</x:v>
      </x:c>
      <x:c r="M25" s="14" t="str">
        <x:v>н.п.</x:v>
      </x:c>
      <x:c r="N25" s="14" t="str">
        <x:v>н.п.</x:v>
      </x:c>
      <x:c r="O25" s="14" t="str">
        <x:v>н.п.</x:v>
      </x:c>
      <x:c r="P25" s="14" t="str">
        <x:v>н.п.</x:v>
      </x:c>
      <x:c r="Q25" s="14" t="str">
        <x:v>н.п.</x:v>
      </x:c>
      <x:c r="R25" s="14" t="str">
        <x:v>н.п.</x:v>
      </x:c>
      <x:c r="S25" s="23" t="str">
        <x:v>н.д.</x:v>
      </x:c>
      <x:c r="T25" s="23" t="str">
        <x:v>н.д.</x:v>
      </x:c>
      <x:c r="U25" s="14" t="str">
        <x:v>н.д.</x:v>
      </x:c>
      <x:c r="V25" s="14" t="str">
        <x:v>н.д.</x:v>
      </x:c>
    </x:row>
    <x:row r="26">
      <x:c r="A26" s="13" t="str">
        <x:v>Полюс</x:v>
      </x:c>
      <x:c r="B26" s="13" t="str">
        <x:v>PLZL</x:v>
      </x:c>
      <x:c r="C26" s="13" t="n">
        <x:v>2024</x:v>
      </x:c>
      <x:c r="D26" s="14" t="n">
        <x:v>538690</x:v>
      </x:c>
      <x:c r="E26" s="14" t="n">
        <x:v>538690</x:v>
      </x:c>
      <x:c r="F26" s="14" t="str">
        <x:v>н.д.</x:v>
      </x:c>
      <x:c r="G26" s="14" t="str">
        <x:v>н.д.</x:v>
      </x:c>
      <x:c r="H26" s="14" t="str">
        <x:v>н.д.</x:v>
      </x:c>
      <x:c r="I26" s="14" t="str">
        <x:v>н.д.</x:v>
      </x:c>
      <x:c r="J26" s="14" t="str">
        <x:v>н.п.</x:v>
      </x:c>
      <x:c r="K26" s="14" t="str">
        <x:v>н.п.</x:v>
      </x:c>
      <x:c r="L26" s="14" t="str">
        <x:v>н.п.</x:v>
      </x:c>
      <x:c r="M26" s="14" t="str">
        <x:v>н.п.</x:v>
      </x:c>
      <x:c r="N26" s="14" t="str">
        <x:v>н.п.</x:v>
      </x:c>
      <x:c r="O26" s="14" t="str">
        <x:v>н.п.</x:v>
      </x:c>
      <x:c r="P26" s="14" t="str">
        <x:v>н.п.</x:v>
      </x:c>
      <x:c r="Q26" s="14" t="str">
        <x:v>н.п.</x:v>
      </x:c>
      <x:c r="R26" s="14" t="str">
        <x:v>н.п.</x:v>
      </x:c>
      <x:c r="S26" s="23" t="str">
        <x:v>н.д.</x:v>
      </x:c>
      <x:c r="T26" s="23" t="str">
        <x:v>н.д.</x:v>
      </x:c>
      <x:c r="U26" s="14" t="str">
        <x:v>н.д.</x:v>
      </x:c>
      <x:c r="V26" s="14" t="str">
        <x:v>н.д.</x:v>
      </x:c>
    </x:row>
    <x:row r="27">
      <x:c r="A27" s="13" t="str">
        <x:v>Полюс</x:v>
      </x:c>
      <x:c r="B27" s="13" t="str">
        <x:v>PLZL</x:v>
      </x:c>
      <x:c r="C27" s="13" t="n">
        <x:v>2025</x:v>
      </x:c>
      <x:c r="D27" s="14" t="n">
        <x:v>517793</x:v>
      </x:c>
      <x:c r="E27" s="14" t="n">
        <x:v>517793</x:v>
      </x:c>
      <x:c r="F27" s="14" t="str">
        <x:v>н.д.</x:v>
      </x:c>
      <x:c r="G27" s="14" t="str">
        <x:v>н.д.</x:v>
      </x:c>
      <x:c r="H27" s="14" t="str">
        <x:v>н.д.</x:v>
      </x:c>
      <x:c r="I27" s="14" t="str">
        <x:v>н.д.</x:v>
      </x:c>
      <x:c r="J27" s="14" t="str">
        <x:v>н.п.</x:v>
      </x:c>
      <x:c r="K27" s="14" t="str">
        <x:v>н.п.</x:v>
      </x:c>
      <x:c r="L27" s="14" t="str">
        <x:v>н.п.</x:v>
      </x:c>
      <x:c r="M27" s="14" t="str">
        <x:v>н.п.</x:v>
      </x:c>
      <x:c r="N27" s="14" t="str">
        <x:v>н.п.</x:v>
      </x:c>
      <x:c r="O27" s="14" t="str">
        <x:v>н.п.</x:v>
      </x:c>
      <x:c r="P27" s="14" t="str">
        <x:v>н.п.</x:v>
      </x:c>
      <x:c r="Q27" s="14" t="str">
        <x:v>н.п.</x:v>
      </x:c>
      <x:c r="R27" s="14" t="str">
        <x:v>н.п.</x:v>
      </x:c>
      <x:c r="S27" s="23" t="str">
        <x:v>н.д.</x:v>
      </x:c>
      <x:c r="T27" s="23" t="str">
        <x:v>н.д.</x:v>
      </x:c>
      <x:c r="U27" s="14" t="str">
        <x:v>н.д.</x:v>
      </x:c>
      <x:c r="V27" s="14" t="str">
        <x:v>н.д.</x:v>
      </x:c>
    </x:row>
    <x:row r="28">
      <x:c r="A28" s="13" t="str">
        <x:v>HeadHunter</x:v>
      </x:c>
      <x:c r="B28" s="13" t="str">
        <x:v>HEAD</x:v>
      </x:c>
      <x:c r="C28" s="13" t="n">
        <x:v>2024</x:v>
      </x:c>
      <x:c r="D28" s="14" t="str">
        <x:v>н.д.</x:v>
      </x:c>
      <x:c r="E28" s="14" t="str">
        <x:v>н.д.</x:v>
      </x:c>
      <x:c r="F28" s="14" t="str">
        <x:v>н.д.</x:v>
      </x:c>
      <x:c r="G28" s="14" t="n">
        <x:v>23229.459</x:v>
      </x:c>
      <x:c r="H28" s="14" t="n">
        <x:v>23229.459</x:v>
      </x:c>
      <x:c r="I28" s="14" t="str">
        <x:v>н.д.</x:v>
      </x:c>
      <x:c r="J28" s="14" t="str">
        <x:v>н.п.</x:v>
      </x:c>
      <x:c r="K28" s="14" t="str">
        <x:v>н.п.</x:v>
      </x:c>
      <x:c r="L28" s="14" t="str">
        <x:v>н.п.</x:v>
      </x:c>
      <x:c r="M28" s="14" t="str">
        <x:v>н.д.</x:v>
      </x:c>
      <x:c r="N28" s="14" t="str">
        <x:v>н.д.</x:v>
      </x:c>
      <x:c r="O28" s="14" t="str">
        <x:v>н.д.</x:v>
      </x:c>
      <x:c r="P28" s="14" t="str">
        <x:v>н.п.</x:v>
      </x:c>
      <x:c r="Q28" s="14" t="str">
        <x:v>н.п.</x:v>
      </x:c>
      <x:c r="R28" s="14" t="str">
        <x:v>н.п.</x:v>
      </x:c>
      <x:c r="S28" s="23" t="str">
        <x:v>EBITDA + выплаты акциями + курсовые и иные раскрытые корректировки</x:v>
      </x:c>
      <x:c r="T28" s="23" t="str">
        <x:v>2025: 20 348,170 + 1 791,514 + 379,402 + 22,805 + 253,276 − 33,272</x:v>
      </x:c>
      <x:c r="U28" s="14" t="n">
        <x:v>23229.459</x:v>
      </x:c>
      <x:c r="V28" s="14" t="n">
        <x:v>0</x:v>
      </x:c>
    </x:row>
    <x:row r="29">
      <x:c r="A29" s="13" t="str">
        <x:v>HeadHunter</x:v>
      </x:c>
      <x:c r="B29" s="13" t="str">
        <x:v>HEAD</x:v>
      </x:c>
      <x:c r="C29" s="13" t="n">
        <x:v>2025</x:v>
      </x:c>
      <x:c r="D29" s="14" t="str">
        <x:v>н.д.</x:v>
      </x:c>
      <x:c r="E29" s="14" t="str">
        <x:v>н.д.</x:v>
      </x:c>
      <x:c r="F29" s="14" t="str">
        <x:v>н.д.</x:v>
      </x:c>
      <x:c r="G29" s="14" t="n">
        <x:v>22761.895</x:v>
      </x:c>
      <x:c r="H29" s="14" t="n">
        <x:v>22761.895</x:v>
      </x:c>
      <x:c r="I29" s="14" t="str">
        <x:v>н.д.</x:v>
      </x:c>
      <x:c r="J29" s="14" t="str">
        <x:v>н.п.</x:v>
      </x:c>
      <x:c r="K29" s="14" t="str">
        <x:v>н.п.</x:v>
      </x:c>
      <x:c r="L29" s="14" t="str">
        <x:v>н.п.</x:v>
      </x:c>
      <x:c r="M29" s="14" t="str">
        <x:v>н.д.</x:v>
      </x:c>
      <x:c r="N29" s="14" t="str">
        <x:v>н.д.</x:v>
      </x:c>
      <x:c r="O29" s="14" t="str">
        <x:v>н.д.</x:v>
      </x:c>
      <x:c r="P29" s="14" t="str">
        <x:v>н.п.</x:v>
      </x:c>
      <x:c r="Q29" s="14" t="str">
        <x:v>н.п.</x:v>
      </x:c>
      <x:c r="R29" s="14" t="str">
        <x:v>н.п.</x:v>
      </x:c>
      <x:c r="S29" s="23" t="str">
        <x:v>EBITDA + выплаты акциями + курсовые и иные раскрытые корректировки</x:v>
      </x:c>
      <x:c r="T29" s="23" t="str">
        <x:v>2025: 20 348,170 + 1 791,514 + 379,402 + 22,805 + 253,276 − 33,272</x:v>
      </x:c>
      <x:c r="U29" s="14" t="n">
        <x:v>22761.895</x:v>
      </x:c>
      <x:c r="V29" s="14" t="n">
        <x:v>0</x:v>
      </x:c>
    </x:row>
    <x:row r="30">
      <x:c r="A30" s="13" t="str">
        <x:v>МТС</x:v>
      </x:c>
      <x:c r="B30" s="13" t="str">
        <x:v>MTSS</x:v>
      </x:c>
      <x:c r="C30" s="13" t="n">
        <x:v>2024</x:v>
      </x:c>
      <x:c r="D30" s="14" t="str">
        <x:v>н.д.</x:v>
      </x:c>
      <x:c r="E30" s="14" t="str">
        <x:v>н.д.</x:v>
      </x:c>
      <x:c r="F30" s="14" t="str">
        <x:v>н.д.</x:v>
      </x:c>
      <x:c r="G30" s="14" t="str">
        <x:v>н.д.</x:v>
      </x:c>
      <x:c r="H30" s="14" t="str">
        <x:v>н.д.</x:v>
      </x:c>
      <x:c r="I30" s="14" t="str">
        <x:v>н.д.</x:v>
      </x:c>
      <x:c r="J30" s="14" t="str">
        <x:v>н.п.</x:v>
      </x:c>
      <x:c r="K30" s="14" t="str">
        <x:v>н.п.</x:v>
      </x:c>
      <x:c r="L30" s="14" t="str">
        <x:v>н.п.</x:v>
      </x:c>
      <x:c r="M30" s="14" t="str">
        <x:v>н.п.</x:v>
      </x:c>
      <x:c r="N30" s="14" t="str">
        <x:v>н.п.</x:v>
      </x:c>
      <x:c r="O30" s="14" t="str">
        <x:v>н.п.</x:v>
      </x:c>
      <x:c r="P30" s="14" t="n">
        <x:v>246432</x:v>
      </x:c>
      <x:c r="Q30" s="14" t="str">
        <x:v>н.д.</x:v>
      </x:c>
      <x:c r="R30" s="14" t="str">
        <x:v>н.д.</x:v>
      </x:c>
      <x:c r="S30" s="23" t="str">
        <x:v>Операционная прибыль + амортизация основных средств и НМА</x:v>
      </x:c>
      <x:c r="T30" s="23" t="str">
        <x:v>2025: 154 609 + 125 086</x:v>
      </x:c>
      <x:c r="U30" s="14" t="n">
        <x:v>246432</x:v>
      </x:c>
      <x:c r="V30" s="14" t="n">
        <x:v>0</x:v>
      </x:c>
    </x:row>
    <x:row r="31">
      <x:c r="A31" s="13" t="str">
        <x:v>МТС</x:v>
      </x:c>
      <x:c r="B31" s="13" t="str">
        <x:v>MTSS</x:v>
      </x:c>
      <x:c r="C31" s="13" t="n">
        <x:v>2025</x:v>
      </x:c>
      <x:c r="D31" s="14" t="str">
        <x:v>н.д.</x:v>
      </x:c>
      <x:c r="E31" s="14" t="str">
        <x:v>н.д.</x:v>
      </x:c>
      <x:c r="F31" s="14" t="str">
        <x:v>н.д.</x:v>
      </x:c>
      <x:c r="G31" s="14" t="str">
        <x:v>н.д.</x:v>
      </x:c>
      <x:c r="H31" s="14" t="str">
        <x:v>н.д.</x:v>
      </x:c>
      <x:c r="I31" s="14" t="str">
        <x:v>н.д.</x:v>
      </x:c>
      <x:c r="J31" s="14" t="str">
        <x:v>н.п.</x:v>
      </x:c>
      <x:c r="K31" s="14" t="str">
        <x:v>н.п.</x:v>
      </x:c>
      <x:c r="L31" s="14" t="str">
        <x:v>н.п.</x:v>
      </x:c>
      <x:c r="M31" s="14" t="str">
        <x:v>н.п.</x:v>
      </x:c>
      <x:c r="N31" s="14" t="str">
        <x:v>н.п.</x:v>
      </x:c>
      <x:c r="O31" s="14" t="str">
        <x:v>н.п.</x:v>
      </x:c>
      <x:c r="P31" s="14" t="n">
        <x:v>279695</x:v>
      </x:c>
      <x:c r="Q31" s="14" t="str">
        <x:v>н.д.</x:v>
      </x:c>
      <x:c r="R31" s="14" t="str">
        <x:v>н.д.</x:v>
      </x:c>
      <x:c r="S31" s="23" t="str">
        <x:v>Операционная прибыль + амортизация основных средств и НМА</x:v>
      </x:c>
      <x:c r="T31" s="23" t="str">
        <x:v>2025: 154 609 + 125 086</x:v>
      </x:c>
      <x:c r="U31" s="14" t="n">
        <x:v>279695</x:v>
      </x:c>
      <x:c r="V31" s="14" t="n">
        <x:v>0</x:v>
      </x:c>
    </x:row>
    <x:row r="32">
      <x:c r="A32" s="13" t="str">
        <x:v>Интер РАО</x:v>
      </x:c>
      <x:c r="B32" s="13" t="str">
        <x:v>IRAO</x:v>
      </x:c>
      <x:c r="C32" s="13" t="n">
        <x:v>2024</x:v>
      </x:c>
      <x:c r="D32" s="14" t="n">
        <x:v>173303</x:v>
      </x:c>
      <x:c r="E32" s="14" t="n">
        <x:v>173303</x:v>
      </x:c>
      <x:c r="F32" s="14" t="str">
        <x:v>н.д.</x:v>
      </x:c>
      <x:c r="G32" s="14" t="str">
        <x:v>н.д.</x:v>
      </x:c>
      <x:c r="H32" s="14" t="str">
        <x:v>н.д.</x:v>
      </x:c>
      <x:c r="I32" s="14" t="str">
        <x:v>н.д.</x:v>
      </x:c>
      <x:c r="J32" s="14" t="str">
        <x:v>н.п.</x:v>
      </x:c>
      <x:c r="K32" s="14" t="str">
        <x:v>н.п.</x:v>
      </x:c>
      <x:c r="L32" s="14" t="str">
        <x:v>н.п.</x:v>
      </x:c>
      <x:c r="M32" s="14" t="str">
        <x:v>н.п.</x:v>
      </x:c>
      <x:c r="N32" s="14" t="str">
        <x:v>н.п.</x:v>
      </x:c>
      <x:c r="O32" s="14" t="str">
        <x:v>н.п.</x:v>
      </x:c>
      <x:c r="P32" s="14" t="str">
        <x:v>н.п.</x:v>
      </x:c>
      <x:c r="Q32" s="14" t="str">
        <x:v>н.п.</x:v>
      </x:c>
      <x:c r="R32" s="14" t="str">
        <x:v>н.п.</x:v>
      </x:c>
      <x:c r="S32" s="23" t="str">
        <x:v>н.д.</x:v>
      </x:c>
      <x:c r="T32" s="23" t="str">
        <x:v>н.д.</x:v>
      </x:c>
      <x:c r="U32" s="14" t="str">
        <x:v>н.д.</x:v>
      </x:c>
      <x:c r="V32" s="14" t="str">
        <x:v>н.д.</x:v>
      </x:c>
    </x:row>
    <x:row r="33">
      <x:c r="A33" s="13" t="str">
        <x:v>Интер РАО</x:v>
      </x:c>
      <x:c r="B33" s="13" t="str">
        <x:v>IRAO</x:v>
      </x:c>
      <x:c r="C33" s="13" t="n">
        <x:v>2025</x:v>
      </x:c>
      <x:c r="D33" s="14" t="n">
        <x:v>181544</x:v>
      </x:c>
      <x:c r="E33" s="14" t="n">
        <x:v>181544</x:v>
      </x:c>
      <x:c r="F33" s="14" t="str">
        <x:v>н.д.</x:v>
      </x:c>
      <x:c r="G33" s="14" t="str">
        <x:v>н.д.</x:v>
      </x:c>
      <x:c r="H33" s="14" t="str">
        <x:v>н.д.</x:v>
      </x:c>
      <x:c r="I33" s="14" t="str">
        <x:v>н.д.</x:v>
      </x:c>
      <x:c r="J33" s="14" t="str">
        <x:v>н.п.</x:v>
      </x:c>
      <x:c r="K33" s="14" t="str">
        <x:v>н.п.</x:v>
      </x:c>
      <x:c r="L33" s="14" t="str">
        <x:v>н.п.</x:v>
      </x:c>
      <x:c r="M33" s="14" t="str">
        <x:v>н.п.</x:v>
      </x:c>
      <x:c r="N33" s="14" t="str">
        <x:v>н.п.</x:v>
      </x:c>
      <x:c r="O33" s="14" t="str">
        <x:v>н.п.</x:v>
      </x:c>
      <x:c r="P33" s="14" t="str">
        <x:v>н.п.</x:v>
      </x:c>
      <x:c r="Q33" s="14" t="str">
        <x:v>н.п.</x:v>
      </x:c>
      <x:c r="R33" s="14" t="str">
        <x:v>н.п.</x:v>
      </x:c>
      <x:c r="S33" s="23" t="str">
        <x:v>н.д.</x:v>
      </x:c>
      <x:c r="T33" s="23" t="str">
        <x:v>н.д.</x:v>
      </x:c>
      <x:c r="U33" s="14" t="str">
        <x:v>н.д.</x:v>
      </x:c>
      <x:c r="V33" s="14" t="str">
        <x:v>н.д.</x:v>
      </x:c>
    </x:row>
    <x:row r="34">
      <x:c r="A34" s="13" t="str">
        <x:v>Северсталь</x:v>
      </x:c>
      <x:c r="B34" s="13" t="str">
        <x:v>CHMF</x:v>
      </x:c>
      <x:c r="C34" s="13" t="n">
        <x:v>2024</x:v>
      </x:c>
      <x:c r="D34" s="14" t="str">
        <x:v>н.д.</x:v>
      </x:c>
      <x:c r="E34" s="14" t="n">
        <x:v>237880</x:v>
      </x:c>
      <x:c r="F34" s="14" t="str">
        <x:v>н.д.</x:v>
      </x:c>
      <x:c r="G34" s="14" t="str">
        <x:v>н.д.</x:v>
      </x:c>
      <x:c r="H34" s="14" t="str">
        <x:v>н.д.</x:v>
      </x:c>
      <x:c r="I34" s="14" t="str">
        <x:v>н.д.</x:v>
      </x:c>
      <x:c r="J34" s="14" t="str">
        <x:v>н.п.</x:v>
      </x:c>
      <x:c r="K34" s="14" t="str">
        <x:v>н.п.</x:v>
      </x:c>
      <x:c r="L34" s="14" t="str">
        <x:v>н.п.</x:v>
      </x:c>
      <x:c r="M34" s="14" t="str">
        <x:v>н.п.</x:v>
      </x:c>
      <x:c r="N34" s="14" t="str">
        <x:v>н.п.</x:v>
      </x:c>
      <x:c r="O34" s="14" t="str">
        <x:v>н.п.</x:v>
      </x:c>
      <x:c r="P34" s="14" t="str">
        <x:v>н.п.</x:v>
      </x:c>
      <x:c r="Q34" s="14" t="str">
        <x:v>н.п.</x:v>
      </x:c>
      <x:c r="R34" s="14" t="str">
        <x:v>н.п.</x:v>
      </x:c>
      <x:c r="S34" s="23" t="str">
        <x:v>н.д.</x:v>
      </x:c>
      <x:c r="T34" s="23" t="str">
        <x:v>н.д.</x:v>
      </x:c>
      <x:c r="U34" s="14" t="str">
        <x:v>н.д.</x:v>
      </x:c>
      <x:c r="V34" s="14" t="str">
        <x:v>н.д.</x:v>
      </x:c>
    </x:row>
    <x:row r="35">
      <x:c r="A35" s="13" t="str">
        <x:v>Северсталь</x:v>
      </x:c>
      <x:c r="B35" s="13" t="str">
        <x:v>CHMF</x:v>
      </x:c>
      <x:c r="C35" s="13" t="n">
        <x:v>2025</x:v>
      </x:c>
      <x:c r="D35" s="14" t="str">
        <x:v>н.д.</x:v>
      </x:c>
      <x:c r="E35" s="14" t="n">
        <x:v>137612</x:v>
      </x:c>
      <x:c r="F35" s="14" t="str">
        <x:v>н.д.</x:v>
      </x:c>
      <x:c r="G35" s="14" t="str">
        <x:v>н.д.</x:v>
      </x:c>
      <x:c r="H35" s="14" t="str">
        <x:v>н.д.</x:v>
      </x:c>
      <x:c r="I35" s="14" t="str">
        <x:v>н.д.</x:v>
      </x:c>
      <x:c r="J35" s="14" t="str">
        <x:v>н.п.</x:v>
      </x:c>
      <x:c r="K35" s="14" t="str">
        <x:v>н.п.</x:v>
      </x:c>
      <x:c r="L35" s="14" t="str">
        <x:v>н.п.</x:v>
      </x:c>
      <x:c r="M35" s="14" t="str">
        <x:v>н.п.</x:v>
      </x:c>
      <x:c r="N35" s="14" t="str">
        <x:v>н.п.</x:v>
      </x:c>
      <x:c r="O35" s="14" t="str">
        <x:v>н.п.</x:v>
      </x:c>
      <x:c r="P35" s="14" t="str">
        <x:v>н.п.</x:v>
      </x:c>
      <x:c r="Q35" s="14" t="str">
        <x:v>н.п.</x:v>
      </x:c>
      <x:c r="R35" s="14" t="str">
        <x:v>н.п.</x:v>
      </x:c>
      <x:c r="S35" s="23" t="str">
        <x:v>н.д.</x:v>
      </x:c>
      <x:c r="T35" s="23" t="str">
        <x:v>н.д.</x:v>
      </x:c>
      <x:c r="U35" s="14" t="str">
        <x:v>н.д.</x:v>
      </x:c>
      <x:c r="V35" s="14" t="str">
        <x:v>н.д.</x:v>
      </x:c>
    </x:row>
    <x:row r="36">
      <x:c r="A36" s="13" t="str">
        <x:v>РУСАЛ</x:v>
      </x:c>
      <x:c r="B36" s="13" t="str">
        <x:v>RUAL</x:v>
      </x:c>
      <x:c r="C36" s="13" t="n">
        <x:v>2024</x:v>
      </x:c>
      <x:c r="D36" s="14" t="n">
        <x:v>1494</x:v>
      </x:c>
      <x:c r="E36" s="14" t="n">
        <x:v>1494</x:v>
      </x:c>
      <x:c r="F36" s="14" t="str">
        <x:v>н.д.</x:v>
      </x:c>
      <x:c r="G36" s="14" t="str">
        <x:v>н.д.</x:v>
      </x:c>
      <x:c r="H36" s="14" t="str">
        <x:v>н.д.</x:v>
      </x:c>
      <x:c r="I36" s="14" t="str">
        <x:v>н.д.</x:v>
      </x:c>
      <x:c r="J36" s="14" t="str">
        <x:v>н.п.</x:v>
      </x:c>
      <x:c r="K36" s="14" t="str">
        <x:v>н.п.</x:v>
      </x:c>
      <x:c r="L36" s="14" t="str">
        <x:v>н.п.</x:v>
      </x:c>
      <x:c r="M36" s="14" t="str">
        <x:v>н.п.</x:v>
      </x:c>
      <x:c r="N36" s="14" t="str">
        <x:v>н.п.</x:v>
      </x:c>
      <x:c r="O36" s="14" t="str">
        <x:v>н.п.</x:v>
      </x:c>
      <x:c r="P36" s="14" t="str">
        <x:v>н.п.</x:v>
      </x:c>
      <x:c r="Q36" s="14" t="str">
        <x:v>н.п.</x:v>
      </x:c>
      <x:c r="R36" s="14" t="str">
        <x:v>н.п.</x:v>
      </x:c>
      <x:c r="S36" s="23" t="str">
        <x:v>н.д.</x:v>
      </x:c>
      <x:c r="T36" s="23" t="str">
        <x:v>н.д.</x:v>
      </x:c>
      <x:c r="U36" s="14" t="str">
        <x:v>н.д.</x:v>
      </x:c>
      <x:c r="V36" s="14" t="str">
        <x:v>н.д.</x:v>
      </x:c>
    </x:row>
    <x:row r="37">
      <x:c r="A37" s="13" t="str">
        <x:v>РУСАЛ</x:v>
      </x:c>
      <x:c r="B37" s="13" t="str">
        <x:v>RUAL</x:v>
      </x:c>
      <x:c r="C37" s="13" t="n">
        <x:v>2025</x:v>
      </x:c>
      <x:c r="D37" s="14" t="n">
        <x:v>1053</x:v>
      </x:c>
      <x:c r="E37" s="14" t="n">
        <x:v>1053</x:v>
      </x:c>
      <x:c r="F37" s="14" t="str">
        <x:v>н.д.</x:v>
      </x:c>
      <x:c r="G37" s="14" t="str">
        <x:v>н.д.</x:v>
      </x:c>
      <x:c r="H37" s="14" t="str">
        <x:v>н.д.</x:v>
      </x:c>
      <x:c r="I37" s="14" t="str">
        <x:v>н.д.</x:v>
      </x:c>
      <x:c r="J37" s="14" t="str">
        <x:v>н.п.</x:v>
      </x:c>
      <x:c r="K37" s="14" t="str">
        <x:v>н.п.</x:v>
      </x:c>
      <x:c r="L37" s="14" t="str">
        <x:v>н.п.</x:v>
      </x:c>
      <x:c r="M37" s="14" t="str">
        <x:v>н.п.</x:v>
      </x:c>
      <x:c r="N37" s="14" t="str">
        <x:v>н.п.</x:v>
      </x:c>
      <x:c r="O37" s="14" t="str">
        <x:v>н.п.</x:v>
      </x:c>
      <x:c r="P37" s="14" t="str">
        <x:v>н.п.</x:v>
      </x:c>
      <x:c r="Q37" s="14" t="str">
        <x:v>н.п.</x:v>
      </x:c>
      <x:c r="R37" s="14" t="str">
        <x:v>н.п.</x:v>
      </x:c>
      <x:c r="S37" s="23" t="str">
        <x:v>н.д.</x:v>
      </x:c>
      <x:c r="T37" s="23" t="str">
        <x:v>н.д.</x:v>
      </x:c>
      <x:c r="U37" s="14" t="str">
        <x:v>н.д.</x:v>
      </x:c>
      <x:c r="V37" s="14" t="str">
        <x:v>н.д.</x:v>
      </x:c>
    </x:row>
    <x:row r="38">
      <x:c r="A38" s="13" t="str">
        <x:v>НЛМК</x:v>
      </x:c>
      <x:c r="B38" s="13" t="str">
        <x:v>NLMK</x:v>
      </x:c>
      <x:c r="C38" s="13" t="n">
        <x:v>2024</x:v>
      </x:c>
      <x:c r="D38" s="14" t="str">
        <x:v>н.д.</x:v>
      </x:c>
      <x:c r="E38" s="14" t="n">
        <x:v>256887</x:v>
      </x:c>
      <x:c r="F38" s="14" t="str">
        <x:v>н.д.</x:v>
      </x:c>
      <x:c r="G38" s="14" t="str">
        <x:v>н.д.</x:v>
      </x:c>
      <x:c r="H38" s="14" t="str">
        <x:v>н.д.</x:v>
      </x:c>
      <x:c r="I38" s="14" t="str">
        <x:v>н.д.</x:v>
      </x:c>
      <x:c r="J38" s="14" t="str">
        <x:v>н.п.</x:v>
      </x:c>
      <x:c r="K38" s="14" t="str">
        <x:v>н.п.</x:v>
      </x:c>
      <x:c r="L38" s="14" t="str">
        <x:v>н.п.</x:v>
      </x:c>
      <x:c r="M38" s="14" t="str">
        <x:v>н.п.</x:v>
      </x:c>
      <x:c r="N38" s="14" t="str">
        <x:v>н.п.</x:v>
      </x:c>
      <x:c r="O38" s="14" t="str">
        <x:v>н.п.</x:v>
      </x:c>
      <x:c r="P38" s="14" t="str">
        <x:v>н.п.</x:v>
      </x:c>
      <x:c r="Q38" s="14" t="str">
        <x:v>н.п.</x:v>
      </x:c>
      <x:c r="R38" s="14" t="str">
        <x:v>н.п.</x:v>
      </x:c>
      <x:c r="S38" s="23" t="str">
        <x:v>н.д.</x:v>
      </x:c>
      <x:c r="T38" s="23" t="str">
        <x:v>н.д.</x:v>
      </x:c>
      <x:c r="U38" s="14" t="str">
        <x:v>н.д.</x:v>
      </x:c>
      <x:c r="V38" s="14" t="str">
        <x:v>н.д.</x:v>
      </x:c>
    </x:row>
    <x:row r="39">
      <x:c r="A39" s="13" t="str">
        <x:v>НЛМК</x:v>
      </x:c>
      <x:c r="B39" s="13" t="str">
        <x:v>NLMK</x:v>
      </x:c>
      <x:c r="C39" s="13" t="n">
        <x:v>2025</x:v>
      </x:c>
      <x:c r="D39" s="14" t="str">
        <x:v>н.д.</x:v>
      </x:c>
      <x:c r="E39" s="14" t="n">
        <x:v>140500</x:v>
      </x:c>
      <x:c r="F39" s="14" t="str">
        <x:v>н.д.</x:v>
      </x:c>
      <x:c r="G39" s="14" t="str">
        <x:v>н.д.</x:v>
      </x:c>
      <x:c r="H39" s="14" t="str">
        <x:v>н.д.</x:v>
      </x:c>
      <x:c r="I39" s="14" t="str">
        <x:v>н.д.</x:v>
      </x:c>
      <x:c r="J39" s="14" t="str">
        <x:v>н.п.</x:v>
      </x:c>
      <x:c r="K39" s="14" t="str">
        <x:v>н.п.</x:v>
      </x:c>
      <x:c r="L39" s="14" t="str">
        <x:v>н.п.</x:v>
      </x:c>
      <x:c r="M39" s="14" t="str">
        <x:v>н.п.</x:v>
      </x:c>
      <x:c r="N39" s="14" t="str">
        <x:v>н.п.</x:v>
      </x:c>
      <x:c r="O39" s="14" t="str">
        <x:v>н.п.</x:v>
      </x:c>
      <x:c r="P39" s="14" t="str">
        <x:v>н.п.</x:v>
      </x:c>
      <x:c r="Q39" s="14" t="str">
        <x:v>н.п.</x:v>
      </x:c>
      <x:c r="R39" s="14" t="str">
        <x:v>н.п.</x:v>
      </x:c>
      <x:c r="S39" s="23" t="str">
        <x:v>н.д.</x:v>
      </x:c>
      <x:c r="T39" s="23" t="str">
        <x:v>н.д.</x:v>
      </x:c>
      <x:c r="U39" s="14" t="str">
        <x:v>н.д.</x:v>
      </x:c>
      <x:c r="V39" s="14" t="str">
        <x:v>н.д.</x:v>
      </x:c>
    </x:row>
    <x:row r="40">
      <x:c r="A40" s="13" t="str">
        <x:v>ФосАгро</x:v>
      </x:c>
      <x:c r="B40" s="13" t="str">
        <x:v>PHOR</x:v>
      </x:c>
      <x:c r="C40" s="13" t="n">
        <x:v>2024</x:v>
      </x:c>
      <x:c r="D40" s="14" t="str">
        <x:v>н.д.</x:v>
      </x:c>
      <x:c r="E40" s="14" t="n">
        <x:v>177005</x:v>
      </x:c>
      <x:c r="F40" s="14" t="str">
        <x:v>н.д.</x:v>
      </x:c>
      <x:c r="G40" s="14" t="str">
        <x:v>н.д.</x:v>
      </x:c>
      <x:c r="H40" s="14" t="str">
        <x:v>н.д.</x:v>
      </x:c>
      <x:c r="I40" s="14" t="str">
        <x:v>н.д.</x:v>
      </x:c>
      <x:c r="J40" s="14" t="str">
        <x:v>н.п.</x:v>
      </x:c>
      <x:c r="K40" s="14" t="str">
        <x:v>н.п.</x:v>
      </x:c>
      <x:c r="L40" s="14" t="str">
        <x:v>н.п.</x:v>
      </x:c>
      <x:c r="M40" s="14" t="str">
        <x:v>н.п.</x:v>
      </x:c>
      <x:c r="N40" s="14" t="str">
        <x:v>н.п.</x:v>
      </x:c>
      <x:c r="O40" s="14" t="str">
        <x:v>н.п.</x:v>
      </x:c>
      <x:c r="P40" s="14" t="str">
        <x:v>н.п.</x:v>
      </x:c>
      <x:c r="Q40" s="14" t="str">
        <x:v>н.п.</x:v>
      </x:c>
      <x:c r="R40" s="14" t="str">
        <x:v>н.п.</x:v>
      </x:c>
      <x:c r="S40" s="23" t="str">
        <x:v>н.д.</x:v>
      </x:c>
      <x:c r="T40" s="23" t="str">
        <x:v>н.д.</x:v>
      </x:c>
      <x:c r="U40" s="14" t="str">
        <x:v>н.д.</x:v>
      </x:c>
      <x:c r="V40" s="14" t="str">
        <x:v>н.д.</x:v>
      </x:c>
    </x:row>
    <x:row r="41">
      <x:c r="A41" s="13" t="str">
        <x:v>ФосАгро</x:v>
      </x:c>
      <x:c r="B41" s="13" t="str">
        <x:v>PHOR</x:v>
      </x:c>
      <x:c r="C41" s="13" t="n">
        <x:v>2025</x:v>
      </x:c>
      <x:c r="D41" s="14" t="str">
        <x:v>н.д.</x:v>
      </x:c>
      <x:c r="E41" s="14" t="n">
        <x:v>176317</x:v>
      </x:c>
      <x:c r="F41" s="14" t="str">
        <x:v>н.д.</x:v>
      </x:c>
      <x:c r="G41" s="14" t="str">
        <x:v>н.д.</x:v>
      </x:c>
      <x:c r="H41" s="14" t="str">
        <x:v>н.д.</x:v>
      </x:c>
      <x:c r="I41" s="14" t="str">
        <x:v>н.д.</x:v>
      </x:c>
      <x:c r="J41" s="14" t="str">
        <x:v>н.п.</x:v>
      </x:c>
      <x:c r="K41" s="14" t="str">
        <x:v>н.п.</x:v>
      </x:c>
      <x:c r="L41" s="14" t="str">
        <x:v>н.п.</x:v>
      </x:c>
      <x:c r="M41" s="14" t="str">
        <x:v>н.п.</x:v>
      </x:c>
      <x:c r="N41" s="14" t="str">
        <x:v>н.п.</x:v>
      </x:c>
      <x:c r="O41" s="14" t="str">
        <x:v>н.п.</x:v>
      </x:c>
      <x:c r="P41" s="14" t="str">
        <x:v>н.п.</x:v>
      </x:c>
      <x:c r="Q41" s="14" t="str">
        <x:v>н.п.</x:v>
      </x:c>
      <x:c r="R41" s="14" t="str">
        <x:v>н.п.</x:v>
      </x:c>
      <x:c r="S41" s="23" t="str">
        <x:v>н.д.</x:v>
      </x:c>
      <x:c r="T41" s="23" t="str">
        <x:v>н.д.</x:v>
      </x:c>
      <x:c r="U41" s="14" t="str">
        <x:v>н.д.</x:v>
      </x:c>
      <x:c r="V41" s="14" t="str">
        <x:v>н.д.</x:v>
      </x:c>
    </x:row>
    <x:row r="42">
      <x:c r="A42" s="13" t="str">
        <x:v>Ростелеком</x:v>
      </x:c>
      <x:c r="B42" s="13" t="str">
        <x:v>RTKM</x:v>
      </x:c>
      <x:c r="C42" s="13" t="n">
        <x:v>2024</x:v>
      </x:c>
      <x:c r="D42" s="14" t="str">
        <x:v>н.д.</x:v>
      </x:c>
      <x:c r="E42" s="14" t="str">
        <x:v>н.д.</x:v>
      </x:c>
      <x:c r="F42" s="14" t="str">
        <x:v>н.д.</x:v>
      </x:c>
      <x:c r="G42" s="14" t="str">
        <x:v>н.д.</x:v>
      </x:c>
      <x:c r="H42" s="14" t="str">
        <x:v>н.д.</x:v>
      </x:c>
      <x:c r="I42" s="14" t="str">
        <x:v>н.д.</x:v>
      </x:c>
      <x:c r="J42" s="14" t="str">
        <x:v>н.п.</x:v>
      </x:c>
      <x:c r="K42" s="14" t="str">
        <x:v>н.п.</x:v>
      </x:c>
      <x:c r="L42" s="14" t="str">
        <x:v>н.п.</x:v>
      </x:c>
      <x:c r="M42" s="14" t="str">
        <x:v>н.п.</x:v>
      </x:c>
      <x:c r="N42" s="14" t="str">
        <x:v>н.п.</x:v>
      </x:c>
      <x:c r="O42" s="14" t="str">
        <x:v>н.п.</x:v>
      </x:c>
      <x:c r="P42" s="14" t="n">
        <x:v>302460</x:v>
      </x:c>
      <x:c r="Q42" s="14" t="n">
        <x:v>302460</x:v>
      </x:c>
      <x:c r="R42" s="14" t="str">
        <x:v>н.д.</x:v>
      </x:c>
      <x:c r="S42" s="23" t="str">
        <x:v>н.д.</x:v>
      </x:c>
      <x:c r="T42" s="23" t="str">
        <x:v>н.д.</x:v>
      </x:c>
      <x:c r="U42" s="14" t="str">
        <x:v>н.д.</x:v>
      </x:c>
      <x:c r="V42" s="14" t="str">
        <x:v>н.д.</x:v>
      </x:c>
    </x:row>
    <x:row r="43">
      <x:c r="A43" s="13" t="str">
        <x:v>Ростелеком</x:v>
      </x:c>
      <x:c r="B43" s="13" t="str">
        <x:v>RTKM</x:v>
      </x:c>
      <x:c r="C43" s="13" t="n">
        <x:v>2025</x:v>
      </x:c>
      <x:c r="D43" s="14" t="str">
        <x:v>н.д.</x:v>
      </x:c>
      <x:c r="E43" s="14" t="str">
        <x:v>н.д.</x:v>
      </x:c>
      <x:c r="F43" s="14" t="str">
        <x:v>н.д.</x:v>
      </x:c>
      <x:c r="G43" s="14" t="str">
        <x:v>н.д.</x:v>
      </x:c>
      <x:c r="H43" s="14" t="str">
        <x:v>н.д.</x:v>
      </x:c>
      <x:c r="I43" s="14" t="str">
        <x:v>н.д.</x:v>
      </x:c>
      <x:c r="J43" s="14" t="str">
        <x:v>н.п.</x:v>
      </x:c>
      <x:c r="K43" s="14" t="str">
        <x:v>н.п.</x:v>
      </x:c>
      <x:c r="L43" s="14" t="str">
        <x:v>н.п.</x:v>
      </x:c>
      <x:c r="M43" s="14" t="str">
        <x:v>н.п.</x:v>
      </x:c>
      <x:c r="N43" s="14" t="str">
        <x:v>н.п.</x:v>
      </x:c>
      <x:c r="O43" s="14" t="str">
        <x:v>н.п.</x:v>
      </x:c>
      <x:c r="P43" s="14" t="n">
        <x:v>331048</x:v>
      </x:c>
      <x:c r="Q43" s="14" t="n">
        <x:v>331048</x:v>
      </x:c>
      <x:c r="R43" s="14" t="str">
        <x:v>н.д.</x:v>
      </x:c>
      <x:c r="S43" s="23" t="str">
        <x:v>н.д.</x:v>
      </x:c>
      <x:c r="T43" s="23" t="str">
        <x:v>н.д.</x:v>
      </x:c>
      <x:c r="U43" s="14" t="str">
        <x:v>н.д.</x:v>
      </x:c>
      <x:c r="V43" s="14" t="str">
        <x:v>н.д.</x:v>
      </x:c>
    </x:row>
    <x:row r="44">
      <x:c r="A44" s="13" t="str">
        <x:v>Аэрофлот</x:v>
      </x:c>
      <x:c r="B44" s="13" t="str">
        <x:v>AFLT</x:v>
      </x:c>
      <x:c r="C44" s="13" t="n">
        <x:v>2024</x:v>
      </x:c>
      <x:c r="D44" s="14" t="n">
        <x:v>214075</x:v>
      </x:c>
      <x:c r="E44" s="14" t="n">
        <x:v>214075</x:v>
      </x:c>
      <x:c r="F44" s="14" t="str">
        <x:v>н.д.</x:v>
      </x:c>
      <x:c r="G44" s="14" t="str">
        <x:v>н.д.</x:v>
      </x:c>
      <x:c r="H44" s="14" t="str">
        <x:v>н.д.</x:v>
      </x:c>
      <x:c r="I44" s="14" t="str">
        <x:v>н.д.</x:v>
      </x:c>
      <x:c r="J44" s="14" t="str">
        <x:v>н.п.</x:v>
      </x:c>
      <x:c r="K44" s="14" t="str">
        <x:v>н.п.</x:v>
      </x:c>
      <x:c r="L44" s="14" t="str">
        <x:v>н.п.</x:v>
      </x:c>
      <x:c r="M44" s="14" t="str">
        <x:v>н.п.</x:v>
      </x:c>
      <x:c r="N44" s="14" t="str">
        <x:v>н.п.</x:v>
      </x:c>
      <x:c r="O44" s="14" t="str">
        <x:v>н.п.</x:v>
      </x:c>
      <x:c r="P44" s="14" t="str">
        <x:v>н.п.</x:v>
      </x:c>
      <x:c r="Q44" s="14" t="str">
        <x:v>н.п.</x:v>
      </x:c>
      <x:c r="R44" s="14" t="str">
        <x:v>н.п.</x:v>
      </x:c>
      <x:c r="S44" s="23" t="str">
        <x:v>EBITDA с корректировками компании на таможенные пошлины, страховое урегулирование и резервы</x:v>
      </x:c>
      <x:c r="T44" s="23" t="str">
        <x:v>Полный числовой мост корректировок в загруженных документах не извлечен</x:v>
      </x:c>
      <x:c r="U44" s="14" t="str">
        <x:v>н.д.</x:v>
      </x:c>
      <x:c r="V44" s="14" t="str">
        <x:v>н.д.</x:v>
      </x:c>
    </x:row>
    <x:row r="45">
      <x:c r="A45" s="13" t="str">
        <x:v>Аэрофлот</x:v>
      </x:c>
      <x:c r="B45" s="13" t="str">
        <x:v>AFLT</x:v>
      </x:c>
      <x:c r="C45" s="13" t="n">
        <x:v>2025</x:v>
      </x:c>
      <x:c r="D45" s="14" t="n">
        <x:v>253651</x:v>
      </x:c>
      <x:c r="E45" s="14" t="n">
        <x:v>253651</x:v>
      </x:c>
      <x:c r="F45" s="14" t="str">
        <x:v>н.д.</x:v>
      </x:c>
      <x:c r="G45" s="14" t="str">
        <x:v>н.д.</x:v>
      </x:c>
      <x:c r="H45" s="14" t="str">
        <x:v>н.д.</x:v>
      </x:c>
      <x:c r="I45" s="14" t="n">
        <x:v>185036</x:v>
      </x:c>
      <x:c r="J45" s="14" t="str">
        <x:v>н.п.</x:v>
      </x:c>
      <x:c r="K45" s="14" t="str">
        <x:v>н.п.</x:v>
      </x:c>
      <x:c r="L45" s="14" t="str">
        <x:v>н.п.</x:v>
      </x:c>
      <x:c r="M45" s="14" t="str">
        <x:v>н.п.</x:v>
      </x:c>
      <x:c r="N45" s="14" t="str">
        <x:v>н.п.</x:v>
      </x:c>
      <x:c r="O45" s="14" t="str">
        <x:v>н.п.</x:v>
      </x:c>
      <x:c r="P45" s="14" t="str">
        <x:v>н.п.</x:v>
      </x:c>
      <x:c r="Q45" s="14" t="str">
        <x:v>н.п.</x:v>
      </x:c>
      <x:c r="R45" s="14" t="str">
        <x:v>н.п.</x:v>
      </x:c>
      <x:c r="S45" s="23" t="str">
        <x:v>EBITDA с корректировками компании на таможенные пошлины, страховое урегулирование и резервы</x:v>
      </x:c>
      <x:c r="T45" s="23" t="str">
        <x:v>Полный числовой мост корректировок в загруженных документах не извлечен</x:v>
      </x:c>
      <x:c r="U45" s="14" t="str">
        <x:v>н.д.</x:v>
      </x:c>
      <x:c r="V45" s="14" t="str">
        <x:v>н.д.</x:v>
      </x:c>
    </x:row>
    <x:row r="46">
      <x:c r="A46" s="13" t="str">
        <x:v>ММК</x:v>
      </x:c>
      <x:c r="B46" s="13" t="str">
        <x:v>MAGN</x:v>
      </x:c>
      <x:c r="C46" s="13" t="n">
        <x:v>2024</x:v>
      </x:c>
      <x:c r="D46" s="14" t="n">
        <x:v>153023</x:v>
      </x:c>
      <x:c r="E46" s="14" t="str">
        <x:v>н.д.</x:v>
      </x:c>
      <x:c r="F46" s="14" t="str">
        <x:v>н.д.</x:v>
      </x:c>
      <x:c r="G46" s="14" t="str">
        <x:v>н.д.</x:v>
      </x:c>
      <x:c r="H46" s="14" t="str">
        <x:v>н.д.</x:v>
      </x:c>
      <x:c r="I46" s="14" t="str">
        <x:v>н.д.</x:v>
      </x:c>
      <x:c r="J46" s="14" t="str">
        <x:v>н.п.</x:v>
      </x:c>
      <x:c r="K46" s="14" t="str">
        <x:v>н.п.</x:v>
      </x:c>
      <x:c r="L46" s="14" t="str">
        <x:v>н.п.</x:v>
      </x:c>
      <x:c r="M46" s="14" t="str">
        <x:v>н.п.</x:v>
      </x:c>
      <x:c r="N46" s="14" t="str">
        <x:v>н.п.</x:v>
      </x:c>
      <x:c r="O46" s="14" t="str">
        <x:v>н.п.</x:v>
      </x:c>
      <x:c r="P46" s="14" t="str">
        <x:v>н.п.</x:v>
      </x:c>
      <x:c r="Q46" s="14" t="str">
        <x:v>н.п.</x:v>
      </x:c>
      <x:c r="R46" s="14" t="str">
        <x:v>н.п.</x:v>
      </x:c>
      <x:c r="S46" s="23" t="str">
        <x:v>Операционная прибыль + амортизация − прибыль от выбытия ОС + доход от инвестиций</x:v>
      </x:c>
      <x:c r="T46" s="23" t="str">
        <x:v>2025: 21 444 + 60 064 − 760 + 9</x:v>
      </x:c>
      <x:c r="U46" s="14" t="n">
        <x:v>153023</x:v>
      </x:c>
      <x:c r="V46" s="14" t="n">
        <x:v>0</x:v>
      </x:c>
    </x:row>
    <x:row r="47">
      <x:c r="A47" s="13" t="str">
        <x:v>ММК</x:v>
      </x:c>
      <x:c r="B47" s="13" t="str">
        <x:v>MAGN</x:v>
      </x:c>
      <x:c r="C47" s="13" t="n">
        <x:v>2025</x:v>
      </x:c>
      <x:c r="D47" s="14" t="n">
        <x:v>80757</x:v>
      </x:c>
      <x:c r="E47" s="14" t="str">
        <x:v>н.д.</x:v>
      </x:c>
      <x:c r="F47" s="14" t="str">
        <x:v>н.д.</x:v>
      </x:c>
      <x:c r="G47" s="14" t="str">
        <x:v>н.д.</x:v>
      </x:c>
      <x:c r="H47" s="14" t="str">
        <x:v>н.д.</x:v>
      </x:c>
      <x:c r="I47" s="14" t="str">
        <x:v>н.д.</x:v>
      </x:c>
      <x:c r="J47" s="14" t="str">
        <x:v>н.п.</x:v>
      </x:c>
      <x:c r="K47" s="14" t="str">
        <x:v>н.п.</x:v>
      </x:c>
      <x:c r="L47" s="14" t="str">
        <x:v>н.п.</x:v>
      </x:c>
      <x:c r="M47" s="14" t="str">
        <x:v>н.п.</x:v>
      </x:c>
      <x:c r="N47" s="14" t="str">
        <x:v>н.п.</x:v>
      </x:c>
      <x:c r="O47" s="14" t="str">
        <x:v>н.п.</x:v>
      </x:c>
      <x:c r="P47" s="14" t="str">
        <x:v>н.п.</x:v>
      </x:c>
      <x:c r="Q47" s="14" t="str">
        <x:v>н.п.</x:v>
      </x:c>
      <x:c r="R47" s="14" t="str">
        <x:v>н.п.</x:v>
      </x:c>
      <x:c r="S47" s="23" t="str">
        <x:v>Операционная прибыль + амортизация − прибыль от выбытия ОС + доход от инвестиций</x:v>
      </x:c>
      <x:c r="T47" s="23" t="str">
        <x:v>2025: 21 444 + 60 064 − 760 + 9</x:v>
      </x:c>
      <x:c r="U47" s="14" t="n">
        <x:v>80757</x:v>
      </x:c>
      <x:c r="V47" s="14" t="n">
        <x:v>0</x:v>
      </x:c>
    </x:row>
    <x:row r="48">
      <x:c r="A48" s="13" t="str">
        <x:v>Эн+ Груп</x:v>
      </x:c>
      <x:c r="B48" s="13" t="str">
        <x:v>ENPG</x:v>
      </x:c>
      <x:c r="C48" s="13" t="n">
        <x:v>2024</x:v>
      </x:c>
      <x:c r="D48" s="14" t="str">
        <x:v>н.д.</x:v>
      </x:c>
      <x:c r="E48" s="14" t="str">
        <x:v>н.д.</x:v>
      </x:c>
      <x:c r="F48" s="14" t="str">
        <x:v>н.д.</x:v>
      </x:c>
      <x:c r="G48" s="14" t="n">
        <x:v>2927</x:v>
      </x:c>
      <x:c r="H48" s="14" t="n">
        <x:v>2927</x:v>
      </x:c>
      <x:c r="I48" s="14" t="str">
        <x:v>н.д.</x:v>
      </x:c>
      <x:c r="J48" s="14" t="str">
        <x:v>н.п.</x:v>
      </x:c>
      <x:c r="K48" s="14" t="str">
        <x:v>н.п.</x:v>
      </x:c>
      <x:c r="L48" s="14" t="str">
        <x:v>н.п.</x:v>
      </x:c>
      <x:c r="M48" s="14" t="str">
        <x:v>н.п.</x:v>
      </x:c>
      <x:c r="N48" s="14" t="str">
        <x:v>н.п.</x:v>
      </x:c>
      <x:c r="O48" s="14" t="str">
        <x:v>н.п.</x:v>
      </x:c>
      <x:c r="P48" s="14" t="str">
        <x:v>н.п.</x:v>
      </x:c>
      <x:c r="Q48" s="14" t="str">
        <x:v>н.п.</x:v>
      </x:c>
      <x:c r="R48" s="14" t="str">
        <x:v>н.п.</x:v>
      </x:c>
      <x:c r="S48" s="23" t="str">
        <x:v>н.д.</x:v>
      </x:c>
      <x:c r="T48" s="23" t="str">
        <x:v>н.д.</x:v>
      </x:c>
      <x:c r="U48" s="14" t="str">
        <x:v>н.д.</x:v>
      </x:c>
      <x:c r="V48" s="14" t="str">
        <x:v>н.д.</x:v>
      </x:c>
    </x:row>
    <x:row r="49">
      <x:c r="A49" s="13" t="str">
        <x:v>Эн+ Груп</x:v>
      </x:c>
      <x:c r="B49" s="13" t="str">
        <x:v>ENPG</x:v>
      </x:c>
      <x:c r="C49" s="13" t="n">
        <x:v>2025</x:v>
      </x:c>
      <x:c r="D49" s="14" t="str">
        <x:v>н.д.</x:v>
      </x:c>
      <x:c r="E49" s="14" t="str">
        <x:v>н.д.</x:v>
      </x:c>
      <x:c r="F49" s="14" t="str">
        <x:v>н.д.</x:v>
      </x:c>
      <x:c r="G49" s="14" t="n">
        <x:v>2700</x:v>
      </x:c>
      <x:c r="H49" s="14" t="n">
        <x:v>2700</x:v>
      </x:c>
      <x:c r="I49" s="14" t="str">
        <x:v>н.д.</x:v>
      </x:c>
      <x:c r="J49" s="14" t="str">
        <x:v>н.п.</x:v>
      </x:c>
      <x:c r="K49" s="14" t="str">
        <x:v>н.п.</x:v>
      </x:c>
      <x:c r="L49" s="14" t="str">
        <x:v>н.п.</x:v>
      </x:c>
      <x:c r="M49" s="14" t="str">
        <x:v>н.п.</x:v>
      </x:c>
      <x:c r="N49" s="14" t="str">
        <x:v>н.п.</x:v>
      </x:c>
      <x:c r="O49" s="14" t="str">
        <x:v>н.п.</x:v>
      </x:c>
      <x:c r="P49" s="14" t="str">
        <x:v>н.п.</x:v>
      </x:c>
      <x:c r="Q49" s="14" t="str">
        <x:v>н.п.</x:v>
      </x:c>
      <x:c r="R49" s="14" t="str">
        <x:v>н.п.</x:v>
      </x:c>
      <x:c r="S49" s="23" t="str">
        <x:v>н.д.</x:v>
      </x:c>
      <x:c r="T49" s="23" t="str">
        <x:v>н.д.</x:v>
      </x:c>
      <x:c r="U49" s="14" t="str">
        <x:v>н.д.</x:v>
      </x:c>
      <x:c r="V49" s="14" t="str">
        <x:v>н.д.</x:v>
      </x:c>
    </x:row>
    <x:row r="50">
      <x:c r="A50" s="13" t="str">
        <x:v>MD Medical</x:v>
      </x:c>
      <x:c r="B50" s="13" t="str">
        <x:v>MDMG</x:v>
      </x:c>
      <x:c r="C50" s="13" t="n">
        <x:v>2024</x:v>
      </x:c>
      <x:c r="D50" s="14" t="str">
        <x:v>н.д.</x:v>
      </x:c>
      <x:c r="E50" s="14" t="n">
        <x:v>10681</x:v>
      </x:c>
      <x:c r="F50" s="14" t="str">
        <x:v>н.д.</x:v>
      </x:c>
      <x:c r="G50" s="14" t="str">
        <x:v>н.д.</x:v>
      </x:c>
      <x:c r="H50" s="14" t="str">
        <x:v>н.д.</x:v>
      </x:c>
      <x:c r="I50" s="14" t="str">
        <x:v>н.д.</x:v>
      </x:c>
      <x:c r="J50" s="14" t="str">
        <x:v>н.п.</x:v>
      </x:c>
      <x:c r="K50" s="14" t="str">
        <x:v>н.п.</x:v>
      </x:c>
      <x:c r="L50" s="14" t="str">
        <x:v>н.п.</x:v>
      </x:c>
      <x:c r="M50" s="14" t="str">
        <x:v>н.п.</x:v>
      </x:c>
      <x:c r="N50" s="14" t="str">
        <x:v>н.п.</x:v>
      </x:c>
      <x:c r="O50" s="14" t="str">
        <x:v>н.п.</x:v>
      </x:c>
      <x:c r="P50" s="14" t="str">
        <x:v>н.п.</x:v>
      </x:c>
      <x:c r="Q50" s="14" t="str">
        <x:v>н.п.</x:v>
      </x:c>
      <x:c r="R50" s="14" t="str">
        <x:v>н.п.</x:v>
      </x:c>
      <x:c r="S50" s="23" t="str">
        <x:v>н.д.</x:v>
      </x:c>
      <x:c r="T50" s="23" t="str">
        <x:v>н.д.</x:v>
      </x:c>
      <x:c r="U50" s="14" t="str">
        <x:v>н.д.</x:v>
      </x:c>
      <x:c r="V50" s="14" t="str">
        <x:v>н.д.</x:v>
      </x:c>
    </x:row>
    <x:row r="51">
      <x:c r="A51" s="13" t="str">
        <x:v>MD Medical</x:v>
      </x:c>
      <x:c r="B51" s="13" t="str">
        <x:v>MDMG</x:v>
      </x:c>
      <x:c r="C51" s="13" t="n">
        <x:v>2025</x:v>
      </x:c>
      <x:c r="D51" s="14" t="str">
        <x:v>н.д.</x:v>
      </x:c>
      <x:c r="E51" s="14" t="n">
        <x:v>13289</x:v>
      </x:c>
      <x:c r="F51" s="14" t="str">
        <x:v>н.д.</x:v>
      </x:c>
      <x:c r="G51" s="14" t="str">
        <x:v>н.д.</x:v>
      </x:c>
      <x:c r="H51" s="14" t="str">
        <x:v>н.д.</x:v>
      </x:c>
      <x:c r="I51" s="14" t="str">
        <x:v>н.д.</x:v>
      </x:c>
      <x:c r="J51" s="14" t="str">
        <x:v>н.п.</x:v>
      </x:c>
      <x:c r="K51" s="14" t="str">
        <x:v>н.п.</x:v>
      </x:c>
      <x:c r="L51" s="14" t="str">
        <x:v>н.п.</x:v>
      </x:c>
      <x:c r="M51" s="14" t="str">
        <x:v>н.п.</x:v>
      </x:c>
      <x:c r="N51" s="14" t="str">
        <x:v>н.п.</x:v>
      </x:c>
      <x:c r="O51" s="14" t="str">
        <x:v>н.п.</x:v>
      </x:c>
      <x:c r="P51" s="14" t="str">
        <x:v>н.п.</x:v>
      </x:c>
      <x:c r="Q51" s="14" t="str">
        <x:v>н.п.</x:v>
      </x:c>
      <x:c r="R51" s="14" t="str">
        <x:v>н.п.</x:v>
      </x:c>
      <x:c r="S51" s="23" t="str">
        <x:v>н.д.</x:v>
      </x:c>
      <x:c r="T51" s="23" t="str">
        <x:v>н.д.</x:v>
      </x:c>
      <x:c r="U51" s="14" t="str">
        <x:v>н.д.</x:v>
      </x:c>
      <x:c r="V51" s="14" t="str">
        <x:v>н.д.</x:v>
      </x:c>
    </x:row>
    <x:row r="52">
      <x:c r="A52" s="13" t="str">
        <x:v>Лента</x:v>
      </x:c>
      <x:c r="B52" s="13" t="str">
        <x:v>LENT</x:v>
      </x:c>
      <x:c r="C52" s="13" t="n">
        <x:v>2024</x:v>
      </x:c>
      <x:c r="D52" s="14" t="str">
        <x:v>н.д.</x:v>
      </x:c>
      <x:c r="E52" s="14" t="n">
        <x:v>88081.579</x:v>
      </x:c>
      <x:c r="F52" s="14" t="str">
        <x:v>н.д.</x:v>
      </x:c>
      <x:c r="G52" s="14" t="str">
        <x:v>н.д.</x:v>
      </x:c>
      <x:c r="H52" s="14" t="str">
        <x:v>н.д.</x:v>
      </x:c>
      <x:c r="I52" s="14" t="str">
        <x:v>н.д.</x:v>
      </x:c>
      <x:c r="J52" s="14" t="str">
        <x:v>н.д.</x:v>
      </x:c>
      <x:c r="K52" s="14" t="str">
        <x:v>н.д.</x:v>
      </x:c>
      <x:c r="L52" s="14" t="str">
        <x:v>н.д.</x:v>
      </x:c>
      <x:c r="M52" s="14" t="str">
        <x:v>н.п.</x:v>
      </x:c>
      <x:c r="N52" s="14" t="str">
        <x:v>н.п.</x:v>
      </x:c>
      <x:c r="O52" s="14" t="str">
        <x:v>н.п.</x:v>
      </x:c>
      <x:c r="P52" s="14" t="str">
        <x:v>н.п.</x:v>
      </x:c>
      <x:c r="Q52" s="14" t="str">
        <x:v>н.п.</x:v>
      </x:c>
      <x:c r="R52" s="14" t="str">
        <x:v>н.п.</x:v>
      </x:c>
      <x:c r="S52" s="23" t="str">
        <x:v>н.д.</x:v>
      </x:c>
      <x:c r="T52" s="23" t="str">
        <x:v>н.д.</x:v>
      </x:c>
      <x:c r="U52" s="14" t="str">
        <x:v>н.д.</x:v>
      </x:c>
      <x:c r="V52" s="14" t="str">
        <x:v>н.д.</x:v>
      </x:c>
    </x:row>
    <x:row r="53">
      <x:c r="A53" s="13" t="str">
        <x:v>Лента</x:v>
      </x:c>
      <x:c r="B53" s="13" t="str">
        <x:v>LENT</x:v>
      </x:c>
      <x:c r="C53" s="13" t="n">
        <x:v>2025</x:v>
      </x:c>
      <x:c r="D53" s="14" t="str">
        <x:v>н.д.</x:v>
      </x:c>
      <x:c r="E53" s="14" t="n">
        <x:v>113015.443</x:v>
      </x:c>
      <x:c r="F53" s="14" t="str">
        <x:v>н.д.</x:v>
      </x:c>
      <x:c r="G53" s="14" t="str">
        <x:v>н.д.</x:v>
      </x:c>
      <x:c r="H53" s="14" t="str">
        <x:v>н.д.</x:v>
      </x:c>
      <x:c r="I53" s="14" t="str">
        <x:v>н.д.</x:v>
      </x:c>
      <x:c r="J53" s="14" t="str">
        <x:v>н.д.</x:v>
      </x:c>
      <x:c r="K53" s="14" t="str">
        <x:v>н.д.</x:v>
      </x:c>
      <x:c r="L53" s="14" t="str">
        <x:v>н.д.</x:v>
      </x:c>
      <x:c r="M53" s="14" t="str">
        <x:v>н.п.</x:v>
      </x:c>
      <x:c r="N53" s="14" t="str">
        <x:v>н.п.</x:v>
      </x:c>
      <x:c r="O53" s="14" t="str">
        <x:v>н.п.</x:v>
      </x:c>
      <x:c r="P53" s="14" t="str">
        <x:v>н.п.</x:v>
      </x:c>
      <x:c r="Q53" s="14" t="str">
        <x:v>н.п.</x:v>
      </x:c>
      <x:c r="R53" s="14" t="str">
        <x:v>н.п.</x:v>
      </x:c>
      <x:c r="S53" s="23" t="str">
        <x:v>н.д.</x:v>
      </x:c>
      <x:c r="T53" s="23" t="str">
        <x:v>н.д.</x:v>
      </x:c>
      <x:c r="U53" s="14" t="str">
        <x:v>н.д.</x:v>
      </x:c>
      <x:c r="V53" s="14" t="str">
        <x:v>н.д.</x:v>
      </x:c>
    </x:row>
    <x:row r="54">
      <x:c r="A54" s="13" t="str">
        <x:v>Совкомфлот</x:v>
      </x:c>
      <x:c r="B54" s="13" t="str">
        <x:v>FLOT</x:v>
      </x:c>
      <x:c r="C54" s="13" t="n">
        <x:v>2024</x:v>
      </x:c>
      <x:c r="D54" s="14" t="str">
        <x:v>н.д.</x:v>
      </x:c>
      <x:c r="E54" s="14" t="n">
        <x:v>1041.285</x:v>
      </x:c>
      <x:c r="F54" s="14" t="str">
        <x:v>н.д.</x:v>
      </x:c>
      <x:c r="G54" s="14" t="str">
        <x:v>н.д.</x:v>
      </x:c>
      <x:c r="H54" s="14" t="str">
        <x:v>н.д.</x:v>
      </x:c>
      <x:c r="I54" s="14" t="str">
        <x:v>н.д.</x:v>
      </x:c>
      <x:c r="J54" s="14" t="str">
        <x:v>н.п.</x:v>
      </x:c>
      <x:c r="K54" s="14" t="str">
        <x:v>н.п.</x:v>
      </x:c>
      <x:c r="L54" s="14" t="str">
        <x:v>н.п.</x:v>
      </x:c>
      <x:c r="M54" s="14" t="str">
        <x:v>н.п.</x:v>
      </x:c>
      <x:c r="N54" s="14" t="str">
        <x:v>н.п.</x:v>
      </x:c>
      <x:c r="O54" s="14" t="str">
        <x:v>н.п.</x:v>
      </x:c>
      <x:c r="P54" s="14" t="str">
        <x:v>н.п.</x:v>
      </x:c>
      <x:c r="Q54" s="14" t="str">
        <x:v>н.п.</x:v>
      </x:c>
      <x:c r="R54" s="14" t="str">
        <x:v>н.п.</x:v>
      </x:c>
      <x:c r="S54" s="23" t="str">
        <x:v>н.д.</x:v>
      </x:c>
      <x:c r="T54" s="23" t="str">
        <x:v>н.д.</x:v>
      </x:c>
      <x:c r="U54" s="14" t="str">
        <x:v>н.д.</x:v>
      </x:c>
      <x:c r="V54" s="14" t="str">
        <x:v>н.д.</x:v>
      </x:c>
    </x:row>
    <x:row r="55">
      <x:c r="A55" s="13" t="str">
        <x:v>Совкомфлот</x:v>
      </x:c>
      <x:c r="B55" s="13" t="str">
        <x:v>FLOT</x:v>
      </x:c>
      <x:c r="C55" s="13" t="n">
        <x:v>2025</x:v>
      </x:c>
      <x:c r="D55" s="14" t="str">
        <x:v>н.д.</x:v>
      </x:c>
      <x:c r="E55" s="14" t="n">
        <x:v>525.625</x:v>
      </x:c>
      <x:c r="F55" s="14" t="str">
        <x:v>н.д.</x:v>
      </x:c>
      <x:c r="G55" s="14" t="str">
        <x:v>н.д.</x:v>
      </x:c>
      <x:c r="H55" s="14" t="str">
        <x:v>н.д.</x:v>
      </x:c>
      <x:c r="I55" s="14" t="str">
        <x:v>н.д.</x:v>
      </x:c>
      <x:c r="J55" s="14" t="str">
        <x:v>н.п.</x:v>
      </x:c>
      <x:c r="K55" s="14" t="str">
        <x:v>н.п.</x:v>
      </x:c>
      <x:c r="L55" s="14" t="str">
        <x:v>н.п.</x:v>
      </x:c>
      <x:c r="M55" s="14" t="str">
        <x:v>н.п.</x:v>
      </x:c>
      <x:c r="N55" s="14" t="str">
        <x:v>н.п.</x:v>
      </x:c>
      <x:c r="O55" s="14" t="str">
        <x:v>н.п.</x:v>
      </x:c>
      <x:c r="P55" s="14" t="str">
        <x:v>н.п.</x:v>
      </x:c>
      <x:c r="Q55" s="14" t="str">
        <x:v>н.п.</x:v>
      </x:c>
      <x:c r="R55" s="14" t="str">
        <x:v>н.п.</x:v>
      </x:c>
      <x:c r="S55" s="23" t="str">
        <x:v>н.д.</x:v>
      </x:c>
      <x:c r="T55" s="23" t="str">
        <x:v>н.д.</x:v>
      </x:c>
      <x:c r="U55" s="14" t="str">
        <x:v>н.д.</x:v>
      </x:c>
      <x:c r="V55" s="14" t="str">
        <x:v>н.д.</x:v>
      </x:c>
    </x:row>
    <x:row r="56">
      <x:c r="A56" s="13" t="str">
        <x:v>Банк Санкт-Петербург</x:v>
      </x:c>
      <x:c r="B56" s="13" t="str">
        <x:v>BSPB</x:v>
      </x:c>
      <x:c r="C56" s="13" t="n">
        <x:v>2024</x:v>
      </x:c>
      <x:c r="D56" s="14" t="str">
        <x:v>н.п.</x:v>
      </x:c>
      <x:c r="E56" s="14" t="str">
        <x:v>н.п.</x:v>
      </x:c>
      <x:c r="F56" s="14" t="str">
        <x:v>н.п.</x:v>
      </x:c>
      <x:c r="G56" s="14" t="str">
        <x:v>н.п.</x:v>
      </x:c>
      <x:c r="H56" s="14" t="str">
        <x:v>н.п.</x:v>
      </x:c>
      <x:c r="I56" s="14" t="str">
        <x:v>н.п.</x:v>
      </x:c>
      <x:c r="J56" s="14" t="str">
        <x:v>н.п.</x:v>
      </x:c>
      <x:c r="K56" s="14" t="str">
        <x:v>н.п.</x:v>
      </x:c>
      <x:c r="L56" s="14" t="str">
        <x:v>н.п.</x:v>
      </x:c>
      <x:c r="M56" s="14" t="str">
        <x:v>н.п.</x:v>
      </x:c>
      <x:c r="N56" s="14" t="str">
        <x:v>н.п.</x:v>
      </x:c>
      <x:c r="O56" s="14" t="str">
        <x:v>н.п.</x:v>
      </x:c>
      <x:c r="P56" s="14" t="str">
        <x:v>н.п.</x:v>
      </x:c>
      <x:c r="Q56" s="14" t="str">
        <x:v>н.п.</x:v>
      </x:c>
      <x:c r="R56" s="14" t="str">
        <x:v>н.п.</x:v>
      </x:c>
      <x:c r="S56" s="23" t="str">
        <x:v>н.д.</x:v>
      </x:c>
      <x:c r="T56" s="23" t="str">
        <x:v>н.д.</x:v>
      </x:c>
      <x:c r="U56" s="14" t="str">
        <x:v>н.д.</x:v>
      </x:c>
      <x:c r="V56" s="14" t="str">
        <x:v>н.д.</x:v>
      </x:c>
    </x:row>
    <x:row r="57">
      <x:c r="A57" s="13" t="str">
        <x:v>Банк Санкт-Петербург</x:v>
      </x:c>
      <x:c r="B57" s="13" t="str">
        <x:v>BSPB</x:v>
      </x:c>
      <x:c r="C57" s="13" t="n">
        <x:v>2025</x:v>
      </x:c>
      <x:c r="D57" s="14" t="str">
        <x:v>н.п.</x:v>
      </x:c>
      <x:c r="E57" s="14" t="str">
        <x:v>н.п.</x:v>
      </x:c>
      <x:c r="F57" s="14" t="str">
        <x:v>н.п.</x:v>
      </x:c>
      <x:c r="G57" s="14" t="str">
        <x:v>н.п.</x:v>
      </x:c>
      <x:c r="H57" s="14" t="str">
        <x:v>н.п.</x:v>
      </x:c>
      <x:c r="I57" s="14" t="str">
        <x:v>н.п.</x:v>
      </x:c>
      <x:c r="J57" s="14" t="str">
        <x:v>н.п.</x:v>
      </x:c>
      <x:c r="K57" s="14" t="str">
        <x:v>н.п.</x:v>
      </x:c>
      <x:c r="L57" s="14" t="str">
        <x:v>н.п.</x:v>
      </x:c>
      <x:c r="M57" s="14" t="str">
        <x:v>н.п.</x:v>
      </x:c>
      <x:c r="N57" s="14" t="str">
        <x:v>н.п.</x:v>
      </x:c>
      <x:c r="O57" s="14" t="str">
        <x:v>н.п.</x:v>
      </x:c>
      <x:c r="P57" s="14" t="str">
        <x:v>н.п.</x:v>
      </x:c>
      <x:c r="Q57" s="14" t="str">
        <x:v>н.п.</x:v>
      </x:c>
      <x:c r="R57" s="14" t="str">
        <x:v>н.п.</x:v>
      </x:c>
      <x:c r="S57" s="23" t="str">
        <x:v>н.д.</x:v>
      </x:c>
      <x:c r="T57" s="23" t="str">
        <x:v>н.д.</x:v>
      </x:c>
      <x:c r="U57" s="14" t="str">
        <x:v>н.д.</x:v>
      </x:c>
      <x:c r="V57" s="14" t="str">
        <x:v>н.д.</x:v>
      </x:c>
    </x:row>
    <x:row r="58">
      <x:c r="A58" s="13" t="str">
        <x:v>АЛРОСА</x:v>
      </x:c>
      <x:c r="B58" s="13" t="str">
        <x:v>ALRS</x:v>
      </x:c>
      <x:c r="C58" s="13" t="n">
        <x:v>2024</x:v>
      </x:c>
      <x:c r="D58" s="14" t="n">
        <x:v>78638</x:v>
      </x:c>
      <x:c r="E58" s="14" t="n">
        <x:v>78638</x:v>
      </x:c>
      <x:c r="F58" s="14" t="str">
        <x:v>н.д.</x:v>
      </x:c>
      <x:c r="G58" s="14" t="str">
        <x:v>н.д.</x:v>
      </x:c>
      <x:c r="H58" s="14" t="str">
        <x:v>н.д.</x:v>
      </x:c>
      <x:c r="I58" s="14" t="str">
        <x:v>н.д.</x:v>
      </x:c>
      <x:c r="J58" s="14" t="str">
        <x:v>н.п.</x:v>
      </x:c>
      <x:c r="K58" s="14" t="str">
        <x:v>н.п.</x:v>
      </x:c>
      <x:c r="L58" s="14" t="str">
        <x:v>н.п.</x:v>
      </x:c>
      <x:c r="M58" s="14" t="str">
        <x:v>н.п.</x:v>
      </x:c>
      <x:c r="N58" s="14" t="str">
        <x:v>н.п.</x:v>
      </x:c>
      <x:c r="O58" s="14" t="str">
        <x:v>н.п.</x:v>
      </x:c>
      <x:c r="P58" s="14" t="str">
        <x:v>н.п.</x:v>
      </x:c>
      <x:c r="Q58" s="14" t="str">
        <x:v>н.п.</x:v>
      </x:c>
      <x:c r="R58" s="14" t="str">
        <x:v>н.п.</x:v>
      </x:c>
      <x:c r="S58" s="23" t="str">
        <x:v>н.д.</x:v>
      </x:c>
      <x:c r="T58" s="23" t="str">
        <x:v>н.д.</x:v>
      </x:c>
      <x:c r="U58" s="14" t="str">
        <x:v>н.д.</x:v>
      </x:c>
      <x:c r="V58" s="14" t="str">
        <x:v>н.д.</x:v>
      </x:c>
    </x:row>
    <x:row r="59">
      <x:c r="A59" s="13" t="str">
        <x:v>АЛРОСА</x:v>
      </x:c>
      <x:c r="B59" s="13" t="str">
        <x:v>ALRS</x:v>
      </x:c>
      <x:c r="C59" s="13" t="n">
        <x:v>2025</x:v>
      </x:c>
      <x:c r="D59" s="14" t="n">
        <x:v>57823</x:v>
      </x:c>
      <x:c r="E59" s="14" t="n">
        <x:v>57823</x:v>
      </x:c>
      <x:c r="F59" s="14" t="str">
        <x:v>н.д.</x:v>
      </x:c>
      <x:c r="G59" s="14" t="str">
        <x:v>н.д.</x:v>
      </x:c>
      <x:c r="H59" s="14" t="str">
        <x:v>н.д.</x:v>
      </x:c>
      <x:c r="I59" s="14" t="str">
        <x:v>н.д.</x:v>
      </x:c>
      <x:c r="J59" s="14" t="str">
        <x:v>н.п.</x:v>
      </x:c>
      <x:c r="K59" s="14" t="str">
        <x:v>н.п.</x:v>
      </x:c>
      <x:c r="L59" s="14" t="str">
        <x:v>н.п.</x:v>
      </x:c>
      <x:c r="M59" s="14" t="str">
        <x:v>н.п.</x:v>
      </x:c>
      <x:c r="N59" s="14" t="str">
        <x:v>н.п.</x:v>
      </x:c>
      <x:c r="O59" s="14" t="str">
        <x:v>н.п.</x:v>
      </x:c>
      <x:c r="P59" s="14" t="str">
        <x:v>н.п.</x:v>
      </x:c>
      <x:c r="Q59" s="14" t="str">
        <x:v>н.п.</x:v>
      </x:c>
      <x:c r="R59" s="14" t="str">
        <x:v>н.п.</x:v>
      </x:c>
      <x:c r="S59" s="23" t="str">
        <x:v>н.д.</x:v>
      </x:c>
      <x:c r="T59" s="23" t="str">
        <x:v>н.д.</x:v>
      </x:c>
      <x:c r="U59" s="14" t="str">
        <x:v>н.д.</x:v>
      </x:c>
      <x:c r="V59" s="14" t="str">
        <x:v>н.д.</x:v>
      </x:c>
    </x:row>
    <x:row r="60">
      <x:c r="A60" s="13" t="str">
        <x:v>ЦИАН</x:v>
      </x:c>
      <x:c r="B60" s="13" t="str">
        <x:v>CNRU</x:v>
      </x:c>
      <x:c r="C60" s="13" t="n">
        <x:v>2024</x:v>
      </x:c>
      <x:c r="D60" s="14" t="str">
        <x:v>н.д.</x:v>
      </x:c>
      <x:c r="E60" s="14" t="str">
        <x:v>н.д.</x:v>
      </x:c>
      <x:c r="F60" s="14" t="str">
        <x:v>н.д.</x:v>
      </x:c>
      <x:c r="G60" s="14" t="n">
        <x:v>3207</x:v>
      </x:c>
      <x:c r="H60" s="14" t="n">
        <x:v>3207</x:v>
      </x:c>
      <x:c r="I60" s="14" t="str">
        <x:v>н.д.</x:v>
      </x:c>
      <x:c r="J60" s="14" t="str">
        <x:v>н.п.</x:v>
      </x:c>
      <x:c r="K60" s="14" t="str">
        <x:v>н.п.</x:v>
      </x:c>
      <x:c r="L60" s="14" t="str">
        <x:v>н.п.</x:v>
      </x:c>
      <x:c r="M60" s="14" t="str">
        <x:v>н.д.</x:v>
      </x:c>
      <x:c r="N60" s="14" t="str">
        <x:v>н.д.</x:v>
      </x:c>
      <x:c r="O60" s="14" t="str">
        <x:v>н.д.</x:v>
      </x:c>
      <x:c r="P60" s="14" t="str">
        <x:v>н.п.</x:v>
      </x:c>
      <x:c r="Q60" s="14" t="str">
        <x:v>н.п.</x:v>
      </x:c>
      <x:c r="R60" s="14" t="str">
        <x:v>н.п.</x:v>
      </x:c>
      <x:c r="S60" s="23" t="str">
        <x:v>Прибыль + налог + финансовые расходы − финансовые доходы ± курсовые разницы + амортизация + выплаты акциями ± прочие/разовые статьи</x:v>
      </x:c>
      <x:c r="T60" s="23" t="str">
        <x:v>Полный числовой мост требует детализации примечаний МСФО</x:v>
      </x:c>
      <x:c r="U60" s="14" t="str">
        <x:v>н.д.</x:v>
      </x:c>
      <x:c r="V60" s="14" t="str">
        <x:v>н.д.</x:v>
      </x:c>
    </x:row>
    <x:row r="61">
      <x:c r="A61" s="13" t="str">
        <x:v>ЦИАН</x:v>
      </x:c>
      <x:c r="B61" s="13" t="str">
        <x:v>CNRU</x:v>
      </x:c>
      <x:c r="C61" s="13" t="n">
        <x:v>2025</x:v>
      </x:c>
      <x:c r="D61" s="14" t="str">
        <x:v>н.д.</x:v>
      </x:c>
      <x:c r="E61" s="14" t="str">
        <x:v>н.д.</x:v>
      </x:c>
      <x:c r="F61" s="14" t="str">
        <x:v>н.д.</x:v>
      </x:c>
      <x:c r="G61" s="14" t="n">
        <x:v>3570</x:v>
      </x:c>
      <x:c r="H61" s="14" t="n">
        <x:v>3570</x:v>
      </x:c>
      <x:c r="I61" s="14" t="n">
        <x:v>3570</x:v>
      </x:c>
      <x:c r="J61" s="14" t="str">
        <x:v>н.п.</x:v>
      </x:c>
      <x:c r="K61" s="14" t="str">
        <x:v>н.п.</x:v>
      </x:c>
      <x:c r="L61" s="14" t="str">
        <x:v>н.п.</x:v>
      </x:c>
      <x:c r="M61" s="14" t="str">
        <x:v>н.д.</x:v>
      </x:c>
      <x:c r="N61" s="14" t="str">
        <x:v>н.д.</x:v>
      </x:c>
      <x:c r="O61" s="14" t="str">
        <x:v>н.д.</x:v>
      </x:c>
      <x:c r="P61" s="14" t="str">
        <x:v>н.п.</x:v>
      </x:c>
      <x:c r="Q61" s="14" t="str">
        <x:v>н.п.</x:v>
      </x:c>
      <x:c r="R61" s="14" t="str">
        <x:v>н.п.</x:v>
      </x:c>
      <x:c r="S61" s="23" t="str">
        <x:v>Прибыль + налог + финансовые расходы − финансовые доходы ± курсовые разницы + амортизация + выплаты акциями ± прочие/разовые статьи</x:v>
      </x:c>
      <x:c r="T61" s="23" t="str">
        <x:v>Полный числовой мост требует детализации примечаний МСФО</x:v>
      </x:c>
      <x:c r="U61" s="14" t="str">
        <x:v>н.д.</x:v>
      </x:c>
      <x:c r="V61" s="14" t="str">
        <x:v>н.д.</x:v>
      </x:c>
    </x:row>
    <x:row r="62">
      <x:c r="A62" s="13" t="str">
        <x:v>АФК Система</x:v>
      </x:c>
      <x:c r="B62" s="13" t="str">
        <x:v>AFKS</x:v>
      </x:c>
      <x:c r="C62" s="13" t="n">
        <x:v>2024</x:v>
      </x:c>
      <x:c r="D62" s="14" t="str">
        <x:v>н.д.</x:v>
      </x:c>
      <x:c r="E62" s="14" t="str">
        <x:v>н.д.</x:v>
      </x:c>
      <x:c r="F62" s="14" t="str">
        <x:v>н.д.</x:v>
      </x:c>
      <x:c r="G62" s="14" t="str">
        <x:v>н.д.</x:v>
      </x:c>
      <x:c r="H62" s="14" t="str">
        <x:v>н.д.</x:v>
      </x:c>
      <x:c r="I62" s="14" t="str">
        <x:v>н.д.</x:v>
      </x:c>
      <x:c r="J62" s="14" t="str">
        <x:v>н.п.</x:v>
      </x:c>
      <x:c r="K62" s="14" t="str">
        <x:v>н.п.</x:v>
      </x:c>
      <x:c r="L62" s="14" t="str">
        <x:v>н.п.</x:v>
      </x:c>
      <x:c r="M62" s="14" t="str">
        <x:v>н.п.</x:v>
      </x:c>
      <x:c r="N62" s="14" t="str">
        <x:v>н.п.</x:v>
      </x:c>
      <x:c r="O62" s="14" t="str">
        <x:v>н.п.</x:v>
      </x:c>
      <x:c r="P62" s="14" t="n">
        <x:v>316055.557</x:v>
      </x:c>
      <x:c r="Q62" s="14" t="n">
        <x:v>316055.557</x:v>
      </x:c>
      <x:c r="R62" s="14" t="str">
        <x:v>н.д.</x:v>
      </x:c>
      <x:c r="S62" s="23" t="str">
        <x:v>н.д.</x:v>
      </x:c>
      <x:c r="T62" s="23" t="str">
        <x:v>н.д.</x:v>
      </x:c>
      <x:c r="U62" s="14" t="str">
        <x:v>н.д.</x:v>
      </x:c>
      <x:c r="V62" s="14" t="str">
        <x:v>н.д.</x:v>
      </x:c>
    </x:row>
    <x:row r="63">
      <x:c r="A63" s="15" t="str">
        <x:v>АФК Система</x:v>
      </x:c>
      <x:c r="B63" s="15" t="str">
        <x:v>AFKS</x:v>
      </x:c>
      <x:c r="C63" s="15" t="n">
        <x:v>2025</x:v>
      </x:c>
      <x:c r="D63" s="16" t="str">
        <x:v>н.д.</x:v>
      </x:c>
      <x:c r="E63" s="16" t="str">
        <x:v>н.д.</x:v>
      </x:c>
      <x:c r="F63" s="16" t="str">
        <x:v>н.д.</x:v>
      </x:c>
      <x:c r="G63" s="16" t="str">
        <x:v>н.д.</x:v>
      </x:c>
      <x:c r="H63" s="16" t="str">
        <x:v>н.д.</x:v>
      </x:c>
      <x:c r="I63" s="16" t="str">
        <x:v>н.д.</x:v>
      </x:c>
      <x:c r="J63" s="16" t="str">
        <x:v>н.п.</x:v>
      </x:c>
      <x:c r="K63" s="16" t="str">
        <x:v>н.п.</x:v>
      </x:c>
      <x:c r="L63" s="16" t="str">
        <x:v>н.п.</x:v>
      </x:c>
      <x:c r="M63" s="16" t="str">
        <x:v>н.п.</x:v>
      </x:c>
      <x:c r="N63" s="16" t="str">
        <x:v>н.п.</x:v>
      </x:c>
      <x:c r="O63" s="16" t="str">
        <x:v>н.п.</x:v>
      </x:c>
      <x:c r="P63" s="16" t="n">
        <x:v>306184.702</x:v>
      </x:c>
      <x:c r="Q63" s="16" t="n">
        <x:v>306184.702</x:v>
      </x:c>
      <x:c r="R63" s="16" t="str">
        <x:v>н.д.</x:v>
      </x:c>
      <x:c r="S63" s="25" t="str">
        <x:v>н.д.</x:v>
      </x:c>
      <x:c r="T63" s="25" t="str">
        <x:v>н.д.</x:v>
      </x:c>
      <x:c r="U63" s="16" t="str">
        <x:v>н.д.</x:v>
      </x:c>
      <x:c r="V63" s="16" t="str">
        <x:v>н.д.</x:v>
      </x:c>
    </x:row>
  </x:sheetData>
  <x:mergeCells>
    <x:mergeCell ref="A1:V1"/>
    <x:mergeCell ref="A2:V2"/>
    <x:mergeCell ref="A4:A5"/>
    <x:mergeCell ref="B4:B5"/>
    <x:mergeCell ref="C4:C5"/>
    <x:mergeCell ref="D4:F4"/>
    <x:mergeCell ref="G4:I4"/>
    <x:mergeCell ref="J4:L4"/>
    <x:mergeCell ref="M4:O4"/>
    <x:mergeCell ref="P4:R4"/>
    <x:mergeCell ref="S4:S5"/>
    <x:mergeCell ref="T4:T5"/>
    <x:mergeCell ref="U4:U5"/>
    <x:mergeCell ref="V4:V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5" hidden="0" customWidth="1"/>
    <x:col min="3" max="3" width="15" hidden="0" customWidth="1"/>
    <x:col min="4" max="4" width="42" hidden="0" customWidth="1"/>
    <x:col min="5" max="5" width="14" hidden="0" customWidth="1"/>
    <x:col min="6" max="6" width="14" hidden="0" customWidth="1"/>
    <x:col min="7" max="7" width="14" hidden="0" customWidth="1"/>
    <x:col min="8" max="8" width="18" hidden="0" customWidth="1"/>
    <x:col min="9" max="9" width="18" hidden="0" customWidth="1"/>
    <x:col min="10" max="10" width="30" hidden="0" customWidth="1"/>
    <x:col min="11" max="11" width="18" hidden="0" customWidth="1"/>
    <x:col min="12" max="12" width="18" hidden="0" customWidth="1"/>
  </x:cols>
  <x:sheetData>
    <x:row r="1" ht="27" customHeight="1">
      <x:c r="A1" s="2" t="str">
        <x:v>Расчет раскрываемой EBITDA и чистого долга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40" customHeight="1">
      <x:c r="A2" s="8" t="str">
        <x:v>Каждая строка — элемент опубликованной компанией сверки. Расчет выполняется только там, где в загруженных документах найдена числовая таблица или однозначная формула. Пустые методики не достраиваются предположениями.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4" ht="48" customHeight="1">
      <x:c r="A4" s="9" t="str">
        <x:v>Компания</x:v>
      </x:c>
      <x:c r="B4" s="9" t="str">
        <x:v>Год</x:v>
      </x:c>
      <x:c r="C4" s="9" t="str">
        <x:v>Показатель</x:v>
      </x:c>
      <x:c r="D4" s="9" t="str">
        <x:v>Компонент</x:v>
      </x:c>
      <x:c r="E4" s="9" t="str">
        <x:v>Знак</x:v>
      </x:c>
      <x:c r="F4" s="9" t="str">
        <x:v>Значение</x:v>
      </x:c>
      <x:c r="G4" s="9" t="str">
        <x:v>Вклад</x:v>
      </x:c>
      <x:c r="H4" s="9" t="str">
        <x:v>Валюта</x:v>
      </x:c>
      <x:c r="I4" s="9" t="str">
        <x:v>Источник</x:v>
      </x:c>
      <x:c r="J4" s="9" t="str">
        <x:v>Страница / раздел</x:v>
      </x:c>
      <x:c r="K4" s="9" t="str">
        <x:v>Расчетный итог</x:v>
      </x:c>
      <x:c r="L4" s="9" t="str">
        <x:v>Контроль</x:v>
      </x:c>
    </x:row>
    <x:row r="5">
      <x:c r="A5" s="11" t="str">
        <x:v>ГАЗПРОМ</x:v>
      </x:c>
      <x:c r="B5" s="11" t="n">
        <x:v>2025</x:v>
      </x:c>
      <x:c r="C5" s="11" t="str">
        <x:v>EBITDA</x:v>
      </x:c>
      <x:c r="D5" s="11" t="str">
        <x:v>Операционная прибыль</x:v>
      </x:c>
      <x:c r="E5" s="12" t="n">
        <x:v>1</x:v>
      </x:c>
      <x:c r="F5" s="12" t="n">
        <x:v>1309766</x:v>
      </x:c>
      <x:c r="G5" s="12" t="n">
        <x:v>1309766</x:v>
      </x:c>
      <x:c r="H5" s="11" t="str">
        <x:v>RUB</x:v>
      </x:c>
      <x:c r="I5" s="11" t="str">
        <x:v>Отчет эмитента</x:v>
      </x:c>
      <x:c r="J5" s="11" t="str">
        <x:v>Расчетная таблица EBITDA</x:v>
      </x:c>
      <x:c r="K5" s="12" t="n">
        <x:f>SUM(G5,G6,G7,G8,G9,G10)</x:f>
        <x:v>2917332</x:v>
      </x:c>
      <x:c r="L5" s="12" t="n">
        <x:v>2917332</x:v>
      </x:c>
    </x:row>
    <x:row r="6">
      <x:c r="A6" s="13" t="str">
        <x:v>ГАЗПРОМ</x:v>
      </x:c>
      <x:c r="B6" s="13" t="n">
        <x:v>2025</x:v>
      </x:c>
      <x:c r="C6" s="13" t="str">
        <x:v>EBITDA</x:v>
      </x:c>
      <x:c r="D6" s="13" t="str">
        <x:v>Амортизация</x:v>
      </x:c>
      <x:c r="E6" s="14" t="n">
        <x:v>1</x:v>
      </x:c>
      <x:c r="F6" s="14" t="n">
        <x:v>1433790</x:v>
      </x:c>
      <x:c r="G6" s="14" t="n">
        <x:v>1433790</x:v>
      </x:c>
      <x:c r="H6" s="13" t="str">
        <x:v>RUB</x:v>
      </x:c>
      <x:c r="I6" s="13" t="str">
        <x:v>Отчет эмитента</x:v>
      </x:c>
      <x:c r="J6" s="13" t="str">
        <x:v>Расчетная таблица EBITDA</x:v>
      </x:c>
      <x:c r="K6" s="14" t="n">
        <x:f>SUM(G5,G6,G7,G8,G9,G10)</x:f>
        <x:v>2917332</x:v>
      </x:c>
      <x:c r="L6" s="14" t="n">
        <x:v>2917332</x:v>
      </x:c>
    </x:row>
    <x:row r="7">
      <x:c r="A7" s="13" t="str">
        <x:v>ГАЗПРОМ</x:v>
      </x:c>
      <x:c r="B7" s="13" t="n">
        <x:v>2025</x:v>
      </x:c>
      <x:c r="C7" s="13" t="str">
        <x:v>EBITDA</x:v>
      </x:c>
      <x:c r="D7" s="13" t="str">
        <x:v>Обесценение финансовых активов</x:v>
      </x:c>
      <x:c r="E7" s="14" t="n">
        <x:v>1</x:v>
      </x:c>
      <x:c r="F7" s="14" t="n">
        <x:v>100873</x:v>
      </x:c>
      <x:c r="G7" s="14" t="n">
        <x:v>100873</x:v>
      </x:c>
      <x:c r="H7" s="13" t="str">
        <x:v>RUB</x:v>
      </x:c>
      <x:c r="I7" s="13" t="str">
        <x:v>Отчет эмитента</x:v>
      </x:c>
      <x:c r="J7" s="13" t="str">
        <x:v>Расчетная таблица EBITDA</x:v>
      </x:c>
      <x:c r="K7" s="14" t="n">
        <x:f>SUM(G5,G6,G7,G8,G9,G10)</x:f>
        <x:v>2917332</x:v>
      </x:c>
      <x:c r="L7" s="14" t="n">
        <x:v>2917332</x:v>
      </x:c>
    </x:row>
    <x:row r="8">
      <x:c r="A8" s="13" t="str">
        <x:v>ГАЗПРОМ</x:v>
      </x:c>
      <x:c r="B8" s="13" t="n">
        <x:v>2025</x:v>
      </x:c>
      <x:c r="C8" s="13" t="str">
        <x:v>EBITDA</x:v>
      </x:c>
      <x:c r="D8" s="13" t="str">
        <x:v>Обесценение нефинансовых активов</x:v>
      </x:c>
      <x:c r="E8" s="14" t="n">
        <x:v>1</x:v>
      </x:c>
      <x:c r="F8" s="14" t="n">
        <x:v>176019</x:v>
      </x:c>
      <x:c r="G8" s="14" t="n">
        <x:v>176019</x:v>
      </x:c>
      <x:c r="H8" s="13" t="str">
        <x:v>RUB</x:v>
      </x:c>
      <x:c r="I8" s="13" t="str">
        <x:v>Отчет эмитента</x:v>
      </x:c>
      <x:c r="J8" s="13" t="str">
        <x:v>Расчетная таблица EBITDA</x:v>
      </x:c>
      <x:c r="K8" s="14" t="n">
        <x:f>SUM(G5,G6,G7,G8,G9,G10)</x:f>
        <x:v>2917332</x:v>
      </x:c>
      <x:c r="L8" s="14" t="n">
        <x:v>2917332</x:v>
      </x:c>
    </x:row>
    <x:row r="9">
      <x:c r="A9" s="13" t="str">
        <x:v>ГАЗПРОМ</x:v>
      </x:c>
      <x:c r="B9" s="13" t="n">
        <x:v>2025</x:v>
      </x:c>
      <x:c r="C9" s="13" t="str">
        <x:v>EBITDA</x:v>
      </x:c>
      <x:c r="D9" s="13" t="str">
        <x:v>Резерв ожидаемых кредитных убытков</x:v>
      </x:c>
      <x:c r="E9" s="14" t="n">
        <x:v>-1</x:v>
      </x:c>
      <x:c r="F9" s="14" t="n">
        <x:v>100873</x:v>
      </x:c>
      <x:c r="G9" s="14" t="n">
        <x:v>-100873</x:v>
      </x:c>
      <x:c r="H9" s="13" t="str">
        <x:v>RUB</x:v>
      </x:c>
      <x:c r="I9" s="13" t="str">
        <x:v>Отчет эмитента</x:v>
      </x:c>
      <x:c r="J9" s="13" t="str">
        <x:v>Расчетная таблица EBITDA</x:v>
      </x:c>
      <x:c r="K9" s="14" t="n">
        <x:f>SUM(G5,G6,G7,G8,G9,G10)</x:f>
        <x:v>2917332</x:v>
      </x:c>
      <x:c r="L9" s="14" t="n">
        <x:v>2917332</x:v>
      </x:c>
    </x:row>
    <x:row r="10">
      <x:c r="A10" s="13" t="str">
        <x:v>ГАЗПРОМ</x:v>
      </x:c>
      <x:c r="B10" s="13" t="n">
        <x:v>2025</x:v>
      </x:c>
      <x:c r="C10" s="13" t="str">
        <x:v>EBITDA</x:v>
      </x:c>
      <x:c r="D10" s="13" t="str">
        <x:v>Резерв под снижение стоимости авансов</x:v>
      </x:c>
      <x:c r="E10" s="14" t="n">
        <x:v>-1</x:v>
      </x:c>
      <x:c r="F10" s="14" t="n">
        <x:v>2243</x:v>
      </x:c>
      <x:c r="G10" s="14" t="n">
        <x:v>-2243</x:v>
      </x:c>
      <x:c r="H10" s="13" t="str">
        <x:v>RUB</x:v>
      </x:c>
      <x:c r="I10" s="13" t="str">
        <x:v>Отчет эмитента</x:v>
      </x:c>
      <x:c r="J10" s="13" t="str">
        <x:v>Расчетная таблица EBITDA</x:v>
      </x:c>
      <x:c r="K10" s="14" t="n">
        <x:f>SUM(G5,G6,G7,G8,G9,G10)</x:f>
        <x:v>2917332</x:v>
      </x:c>
      <x:c r="L10" s="14" t="n">
        <x:v>2917332</x:v>
      </x:c>
    </x:row>
    <x:row r="11">
      <x:c r="A11" s="13" t="str">
        <x:v>ММК</x:v>
      </x:c>
      <x:c r="B11" s="13" t="n">
        <x:v>2025</x:v>
      </x:c>
      <x:c r="C11" s="13" t="str">
        <x:v>EBITDA</x:v>
      </x:c>
      <x:c r="D11" s="13" t="str">
        <x:v>Операционная прибыль</x:v>
      </x:c>
      <x:c r="E11" s="14" t="n">
        <x:v>1</x:v>
      </x:c>
      <x:c r="F11" s="14" t="n">
        <x:v>21444</x:v>
      </x:c>
      <x:c r="G11" s="14" t="n">
        <x:v>21444</x:v>
      </x:c>
      <x:c r="H11" s="13" t="str">
        <x:v>RUB</x:v>
      </x:c>
      <x:c r="I11" s="13" t="str">
        <x:v>МСФО</x:v>
      </x:c>
      <x:c r="J11" s="13" t="n">
        <x:v>36</x:v>
      </x:c>
      <x:c r="K11" s="14" t="n">
        <x:f>SUM(G11,G12,G13,G14)</x:f>
        <x:v>80757</x:v>
      </x:c>
      <x:c r="L11" s="14" t="n">
        <x:v>80757</x:v>
      </x:c>
    </x:row>
    <x:row r="12">
      <x:c r="A12" s="13" t="str">
        <x:v>ММК</x:v>
      </x:c>
      <x:c r="B12" s="13" t="n">
        <x:v>2025</x:v>
      </x:c>
      <x:c r="C12" s="13" t="str">
        <x:v>EBITDA</x:v>
      </x:c>
      <x:c r="D12" s="13" t="str">
        <x:v>Амортизация ОС и НМА</x:v>
      </x:c>
      <x:c r="E12" s="14" t="n">
        <x:v>1</x:v>
      </x:c>
      <x:c r="F12" s="14" t="n">
        <x:v>60064</x:v>
      </x:c>
      <x:c r="G12" s="14" t="n">
        <x:v>60064</x:v>
      </x:c>
      <x:c r="H12" s="13" t="str">
        <x:v>RUB</x:v>
      </x:c>
      <x:c r="I12" s="13" t="str">
        <x:v>МСФО</x:v>
      </x:c>
      <x:c r="J12" s="13" t="n">
        <x:v>36</x:v>
      </x:c>
      <x:c r="K12" s="14" t="n">
        <x:f>SUM(G11,G12,G13,G14)</x:f>
        <x:v>80757</x:v>
      </x:c>
      <x:c r="L12" s="14" t="n">
        <x:v>80757</x:v>
      </x:c>
    </x:row>
    <x:row r="13">
      <x:c r="A13" s="13" t="str">
        <x:v>ММК</x:v>
      </x:c>
      <x:c r="B13" s="13" t="n">
        <x:v>2025</x:v>
      </x:c>
      <x:c r="C13" s="13" t="str">
        <x:v>EBITDA</x:v>
      </x:c>
      <x:c r="D13" s="13" t="str">
        <x:v>Прибыль от выбытия основных средств</x:v>
      </x:c>
      <x:c r="E13" s="14" t="n">
        <x:v>-1</x:v>
      </x:c>
      <x:c r="F13" s="14" t="n">
        <x:v>760</x:v>
      </x:c>
      <x:c r="G13" s="14" t="n">
        <x:v>-760</x:v>
      </x:c>
      <x:c r="H13" s="13" t="str">
        <x:v>RUB</x:v>
      </x:c>
      <x:c r="I13" s="13" t="str">
        <x:v>МСФО</x:v>
      </x:c>
      <x:c r="J13" s="13" t="n">
        <x:v>36</x:v>
      </x:c>
      <x:c r="K13" s="14" t="n">
        <x:f>SUM(G11,G12,G13,G14)</x:f>
        <x:v>80757</x:v>
      </x:c>
      <x:c r="L13" s="14" t="n">
        <x:v>80757</x:v>
      </x:c>
    </x:row>
    <x:row r="14">
      <x:c r="A14" s="13" t="str">
        <x:v>ММК</x:v>
      </x:c>
      <x:c r="B14" s="13" t="n">
        <x:v>2025</x:v>
      </x:c>
      <x:c r="C14" s="13" t="str">
        <x:v>EBITDA</x:v>
      </x:c>
      <x:c r="D14" s="13" t="str">
        <x:v>Доход от инвестиций</x:v>
      </x:c>
      <x:c r="E14" s="14" t="n">
        <x:v>1</x:v>
      </x:c>
      <x:c r="F14" s="14" t="n">
        <x:v>9</x:v>
      </x:c>
      <x:c r="G14" s="14" t="n">
        <x:v>9</x:v>
      </x:c>
      <x:c r="H14" s="13" t="str">
        <x:v>RUB</x:v>
      </x:c>
      <x:c r="I14" s="13" t="str">
        <x:v>МСФО</x:v>
      </x:c>
      <x:c r="J14" s="13" t="n">
        <x:v>36</x:v>
      </x:c>
      <x:c r="K14" s="14" t="n">
        <x:f>SUM(G11,G12,G13,G14)</x:f>
        <x:v>80757</x:v>
      </x:c>
      <x:c r="L14" s="14" t="n">
        <x:v>80757</x:v>
      </x:c>
    </x:row>
    <x:row r="15">
      <x:c r="A15" s="13" t="str">
        <x:v>МТС</x:v>
      </x:c>
      <x:c r="B15" s="13" t="n">
        <x:v>2025</x:v>
      </x:c>
      <x:c r="C15" s="13" t="str">
        <x:v>OIBDA</x:v>
      </x:c>
      <x:c r="D15" s="13" t="str">
        <x:v>Операционная прибыль</x:v>
      </x:c>
      <x:c r="E15" s="14" t="n">
        <x:v>1</x:v>
      </x:c>
      <x:c r="F15" s="14" t="n">
        <x:v>154609</x:v>
      </x:c>
      <x:c r="G15" s="14" t="n">
        <x:v>154609</x:v>
      </x:c>
      <x:c r="H15" s="13" t="str">
        <x:v>RUB</x:v>
      </x:c>
      <x:c r="I15" s="13" t="str">
        <x:v>МСФО</x:v>
      </x:c>
      <x:c r="J15" s="13" t="n">
        <x:v>28</x:v>
      </x:c>
      <x:c r="K15" s="14" t="n">
        <x:f>SUM(G15,G16)</x:f>
        <x:v>279695</x:v>
      </x:c>
      <x:c r="L15" s="14" t="n">
        <x:v>279695</x:v>
      </x:c>
    </x:row>
    <x:row r="16">
      <x:c r="A16" s="13" t="str">
        <x:v>МТС</x:v>
      </x:c>
      <x:c r="B16" s="13" t="n">
        <x:v>2025</x:v>
      </x:c>
      <x:c r="C16" s="13" t="str">
        <x:v>OIBDA</x:v>
      </x:c>
      <x:c r="D16" s="13" t="str">
        <x:v>Амортизация ОС и НМА</x:v>
      </x:c>
      <x:c r="E16" s="14" t="n">
        <x:v>1</x:v>
      </x:c>
      <x:c r="F16" s="14" t="n">
        <x:v>125086</x:v>
      </x:c>
      <x:c r="G16" s="14" t="n">
        <x:v>125086</x:v>
      </x:c>
      <x:c r="H16" s="13" t="str">
        <x:v>RUB</x:v>
      </x:c>
      <x:c r="I16" s="13" t="str">
        <x:v>МСФО</x:v>
      </x:c>
      <x:c r="J16" s="13" t="n">
        <x:v>28</x:v>
      </x:c>
      <x:c r="K16" s="14" t="n">
        <x:f>SUM(G15,G16)</x:f>
        <x:v>279695</x:v>
      </x:c>
      <x:c r="L16" s="14" t="n">
        <x:v>279695</x:v>
      </x:c>
    </x:row>
    <x:row r="17">
      <x:c r="A17" s="13" t="str">
        <x:v>HeadHunter</x:v>
      </x:c>
      <x:c r="B17" s="13" t="n">
        <x:v>2025</x:v>
      </x:c>
      <x:c r="C17" s="13" t="str">
        <x:v>EBITDA</x:v>
      </x:c>
      <x:c r="D17" s="13" t="str">
        <x:v>Чистая прибыль</x:v>
      </x:c>
      <x:c r="E17" s="14" t="n">
        <x:v>1</x:v>
      </x:c>
      <x:c r="F17" s="14" t="n">
        <x:v>17989.497</x:v>
      </x:c>
      <x:c r="G17" s="14" t="n">
        <x:v>17989.497</x:v>
      </x:c>
      <x:c r="H17" s="13" t="str">
        <x:v>RUB</x:v>
      </x:c>
      <x:c r="I17" s="13" t="str">
        <x:v>Отчет эмитента</x:v>
      </x:c>
      <x:c r="J17" s="13" t="str">
        <x:v>Таблица сверки EBITDA</x:v>
      </x:c>
      <x:c r="K17" s="14" t="n">
        <x:f>SUM(G17,G18,G19,G20)</x:f>
        <x:v>20348.170000000002</x:v>
      </x:c>
      <x:c r="L17" s="14" t="n">
        <x:v>20348.17</x:v>
      </x:c>
    </x:row>
    <x:row r="18">
      <x:c r="A18" s="13" t="str">
        <x:v>HeadHunter</x:v>
      </x:c>
      <x:c r="B18" s="13" t="n">
        <x:v>2025</x:v>
      </x:c>
      <x:c r="C18" s="13" t="str">
        <x:v>EBITDA</x:v>
      </x:c>
      <x:c r="D18" s="13" t="str">
        <x:v>Расход по налогу на прибыль</x:v>
      </x:c>
      <x:c r="E18" s="14" t="n">
        <x:v>1</x:v>
      </x:c>
      <x:c r="F18" s="14" t="n">
        <x:v>2007.166</x:v>
      </x:c>
      <x:c r="G18" s="14" t="n">
        <x:v>2007.166</x:v>
      </x:c>
      <x:c r="H18" s="13" t="str">
        <x:v>RUB</x:v>
      </x:c>
      <x:c r="I18" s="13" t="str">
        <x:v>Отчет эмитента</x:v>
      </x:c>
      <x:c r="J18" s="13" t="str">
        <x:v>Таблица сверки EBITDA</x:v>
      </x:c>
      <x:c r="K18" s="14" t="n">
        <x:f>SUM(G17,G18,G19,G20)</x:f>
        <x:v>20348.170000000002</x:v>
      </x:c>
      <x:c r="L18" s="14" t="n">
        <x:v>20348.17</x:v>
      </x:c>
    </x:row>
    <x:row r="19">
      <x:c r="A19" s="13" t="str">
        <x:v>HeadHunter</x:v>
      </x:c>
      <x:c r="B19" s="13" t="n">
        <x:v>2025</x:v>
      </x:c>
      <x:c r="C19" s="13" t="str">
        <x:v>EBITDA</x:v>
      </x:c>
      <x:c r="D19" s="13" t="str">
        <x:v>Чистый процентный доход</x:v>
      </x:c>
      <x:c r="E19" s="14" t="n">
        <x:v>-1</x:v>
      </x:c>
      <x:c r="F19" s="14" t="n">
        <x:v>1299.673</x:v>
      </x:c>
      <x:c r="G19" s="14" t="n">
        <x:v>-1299.673</x:v>
      </x:c>
      <x:c r="H19" s="13" t="str">
        <x:v>RUB</x:v>
      </x:c>
      <x:c r="I19" s="13" t="str">
        <x:v>Отчет эмитента</x:v>
      </x:c>
      <x:c r="J19" s="13" t="str">
        <x:v>Таблица сверки EBITDA</x:v>
      </x:c>
      <x:c r="K19" s="14" t="n">
        <x:f>SUM(G17,G18,G19,G20)</x:f>
        <x:v>20348.170000000002</x:v>
      </x:c>
      <x:c r="L19" s="14" t="n">
        <x:v>20348.17</x:v>
      </x:c>
    </x:row>
    <x:row r="20">
      <x:c r="A20" s="13" t="str">
        <x:v>HeadHunter</x:v>
      </x:c>
      <x:c r="B20" s="13" t="n">
        <x:v>2025</x:v>
      </x:c>
      <x:c r="C20" s="13" t="str">
        <x:v>EBITDA</x:v>
      </x:c>
      <x:c r="D20" s="13" t="str">
        <x:v>Амортизация</x:v>
      </x:c>
      <x:c r="E20" s="14" t="n">
        <x:v>1</x:v>
      </x:c>
      <x:c r="F20" s="14" t="n">
        <x:v>1651.18</x:v>
      </x:c>
      <x:c r="G20" s="14" t="n">
        <x:v>1651.18</x:v>
      </x:c>
      <x:c r="H20" s="13" t="str">
        <x:v>RUB</x:v>
      </x:c>
      <x:c r="I20" s="13" t="str">
        <x:v>Отчет эмитента</x:v>
      </x:c>
      <x:c r="J20" s="13" t="str">
        <x:v>Таблица сверки EBITDA</x:v>
      </x:c>
      <x:c r="K20" s="14" t="n">
        <x:f>SUM(G17,G18,G19,G20)</x:f>
        <x:v>20348.170000000002</x:v>
      </x:c>
      <x:c r="L20" s="14" t="n">
        <x:v>20348.17</x:v>
      </x:c>
    </x:row>
    <x:row r="21">
      <x:c r="A21" s="13" t="str">
        <x:v>HeadHunter</x:v>
      </x:c>
      <x:c r="B21" s="13" t="n">
        <x:v>2025</x:v>
      </x:c>
      <x:c r="C21" s="13" t="str">
        <x:v>Скорр. EBITDA</x:v>
      </x:c>
      <x:c r="D21" s="13" t="str">
        <x:v>EBITDA</x:v>
      </x:c>
      <x:c r="E21" s="14" t="n">
        <x:v>1</x:v>
      </x:c>
      <x:c r="F21" s="14" t="n">
        <x:v>20348.17</x:v>
      </x:c>
      <x:c r="G21" s="14" t="n">
        <x:v>20348.17</x:v>
      </x:c>
      <x:c r="H21" s="13" t="str">
        <x:v>RUB</x:v>
      </x:c>
      <x:c r="I21" s="13" t="str">
        <x:v>Отчет эмитента</x:v>
      </x:c>
      <x:c r="J21" s="13" t="str">
        <x:v>Таблица сверки EBITDA</x:v>
      </x:c>
      <x:c r="K21" s="14" t="n">
        <x:f>SUM(G21,G22,G23,G24,G25,G26)</x:f>
        <x:v>22761.894999999997</x:v>
      </x:c>
      <x:c r="L21" s="14" t="n">
        <x:v>22761.895</x:v>
      </x:c>
    </x:row>
    <x:row r="22">
      <x:c r="A22" s="13" t="str">
        <x:v>HeadHunter</x:v>
      </x:c>
      <x:c r="B22" s="13" t="n">
        <x:v>2025</x:v>
      </x:c>
      <x:c r="C22" s="13" t="str">
        <x:v>Скорр. EBITDA</x:v>
      </x:c>
      <x:c r="D22" s="13" t="str">
        <x:v>Выплаты на основе акций</x:v>
      </x:c>
      <x:c r="E22" s="14" t="n">
        <x:v>1</x:v>
      </x:c>
      <x:c r="F22" s="14" t="n">
        <x:v>1791.514</x:v>
      </x:c>
      <x:c r="G22" s="14" t="n">
        <x:v>1791.514</x:v>
      </x:c>
      <x:c r="H22" s="13" t="str">
        <x:v>RUB</x:v>
      </x:c>
      <x:c r="I22" s="13" t="str">
        <x:v>Отчет эмитента</x:v>
      </x:c>
      <x:c r="J22" s="13" t="str">
        <x:v>Таблица сверки EBITDA</x:v>
      </x:c>
      <x:c r="K22" s="14" t="n">
        <x:f>SUM(G21,G22,G23,G24,G25,G26)</x:f>
        <x:v>22761.894999999997</x:v>
      </x:c>
      <x:c r="L22" s="14" t="n">
        <x:v>22761.895</x:v>
      </x:c>
    </x:row>
    <x:row r="23">
      <x:c r="A23" s="13" t="str">
        <x:v>HeadHunter</x:v>
      </x:c>
      <x:c r="B23" s="13" t="n">
        <x:v>2025</x:v>
      </x:c>
      <x:c r="C23" s="13" t="str">
        <x:v>Скорр. EBITDA</x:v>
      </x:c>
      <x:c r="D23" s="13" t="str">
        <x:v>Курсовые убытки</x:v>
      </x:c>
      <x:c r="E23" s="14" t="n">
        <x:v>1</x:v>
      </x:c>
      <x:c r="F23" s="14" t="n">
        <x:v>379.402</x:v>
      </x:c>
      <x:c r="G23" s="14" t="n">
        <x:v>379.402</x:v>
      </x:c>
      <x:c r="H23" s="13" t="str">
        <x:v>RUB</x:v>
      </x:c>
      <x:c r="I23" s="13" t="str">
        <x:v>Отчет эмитента</x:v>
      </x:c>
      <x:c r="J23" s="13" t="str">
        <x:v>Таблица сверки EBITDA</x:v>
      </x:c>
      <x:c r="K23" s="14" t="n">
        <x:f>SUM(G21,G22,G23,G24,G25,G26)</x:f>
        <x:v>22761.894999999997</x:v>
      </x:c>
      <x:c r="L23" s="14" t="n">
        <x:v>22761.895</x:v>
      </x:c>
    </x:row>
    <x:row r="24">
      <x:c r="A24" s="13" t="str">
        <x:v>HeadHunter</x:v>
      </x:c>
      <x:c r="B24" s="13" t="n">
        <x:v>2025</x:v>
      </x:c>
      <x:c r="C24" s="13" t="str">
        <x:v>Скорр. EBITDA</x:v>
      </x:c>
      <x:c r="D24" s="13" t="str">
        <x:v>Убыток по методу долевого участия</x:v>
      </x:c>
      <x:c r="E24" s="14" t="n">
        <x:v>1</x:v>
      </x:c>
      <x:c r="F24" s="14" t="n">
        <x:v>22.805</x:v>
      </x:c>
      <x:c r="G24" s="14" t="n">
        <x:v>22.805</x:v>
      </x:c>
      <x:c r="H24" s="13" t="str">
        <x:v>RUB</x:v>
      </x:c>
      <x:c r="I24" s="13" t="str">
        <x:v>Отчет эмитента</x:v>
      </x:c>
      <x:c r="J24" s="13" t="str">
        <x:v>Таблица сверки EBITDA</x:v>
      </x:c>
      <x:c r="K24" s="14" t="n">
        <x:f>SUM(G21,G22,G23,G24,G25,G26)</x:f>
        <x:v>22761.894999999997</x:v>
      </x:c>
      <x:c r="L24" s="14" t="n">
        <x:v>22761.895</x:v>
      </x:c>
    </x:row>
    <x:row r="25">
      <x:c r="A25" s="13" t="str">
        <x:v>HeadHunter</x:v>
      </x:c>
      <x:c r="B25" s="13" t="n">
        <x:v>2025</x:v>
      </x:c>
      <x:c r="C25" s="13" t="str">
        <x:v>Скорр. EBITDA</x:v>
      </x:c>
      <x:c r="D25" s="13" t="str">
        <x:v>Расходы по сделкам</x:v>
      </x:c>
      <x:c r="E25" s="14" t="n">
        <x:v>1</x:v>
      </x:c>
      <x:c r="F25" s="14" t="n">
        <x:v>253.276</x:v>
      </x:c>
      <x:c r="G25" s="14" t="n">
        <x:v>253.276</x:v>
      </x:c>
      <x:c r="H25" s="13" t="str">
        <x:v>RUB</x:v>
      </x:c>
      <x:c r="I25" s="13" t="str">
        <x:v>Отчет эмитента</x:v>
      </x:c>
      <x:c r="J25" s="13" t="str">
        <x:v>Таблица сверки EBITDA</x:v>
      </x:c>
      <x:c r="K25" s="14" t="n">
        <x:f>SUM(G21,G22,G23,G24,G25,G26)</x:f>
        <x:v>22761.894999999997</x:v>
      </x:c>
      <x:c r="L25" s="14" t="n">
        <x:v>22761.895</x:v>
      </x:c>
    </x:row>
    <x:row r="26">
      <x:c r="A26" s="13" t="str">
        <x:v>HeadHunter</x:v>
      </x:c>
      <x:c r="B26" s="13" t="n">
        <x:v>2025</x:v>
      </x:c>
      <x:c r="C26" s="13" t="str">
        <x:v>Скорр. EBITDA</x:v>
      </x:c>
      <x:c r="D26" s="13" t="str">
        <x:v>Изменение налоговых резервов</x:v>
      </x:c>
      <x:c r="E26" s="14" t="n">
        <x:v>-1</x:v>
      </x:c>
      <x:c r="F26" s="14" t="n">
        <x:v>33.272</x:v>
      </x:c>
      <x:c r="G26" s="14" t="n">
        <x:v>-33.272</x:v>
      </x:c>
      <x:c r="H26" s="13" t="str">
        <x:v>RUB</x:v>
      </x:c>
      <x:c r="I26" s="13" t="str">
        <x:v>Отчет эмитента</x:v>
      </x:c>
      <x:c r="J26" s="13" t="str">
        <x:v>Таблица сверки EBITDA</x:v>
      </x:c>
      <x:c r="K26" s="14" t="n">
        <x:f>SUM(G21,G22,G23,G24,G25,G26)</x:f>
        <x:v>22761.894999999997</x:v>
      </x:c>
      <x:c r="L26" s="14" t="n">
        <x:v>22761.895</x:v>
      </x:c>
    </x:row>
    <x:row r="27">
      <x:c r="A27" s="17" t="str">
        <x:v>Норникель</x:v>
      </x:c>
      <x:c r="B27" s="17" t="n">
        <x:v>2025</x:v>
      </x:c>
      <x:c r="C27" s="17" t="str">
        <x:v>EBITDA</x:v>
      </x:c>
      <x:c r="D27" s="17" t="str">
        <x:v>EBITDA сегментов</x:v>
      </x:c>
      <x:c r="E27" s="18" t="n">
        <x:v>1</x:v>
      </x:c>
      <x:c r="F27" s="18" t="n">
        <x:v>6335</x:v>
      </x:c>
      <x:c r="G27" s="18" t="n">
        <x:v>6335</x:v>
      </x:c>
      <x:c r="H27" s="17" t="str">
        <x:v>USD</x:v>
      </x:c>
      <x:c r="I27" s="17" t="str">
        <x:v>МСФО</x:v>
      </x:c>
      <x:c r="J27" s="17" t="n">
        <x:v>29</x:v>
      </x:c>
      <x:c r="K27" s="18" t="n">
        <x:f>SUM(G27,G28)</x:f>
        <x:v>5668</x:v>
      </x:c>
      <x:c r="L27" s="18" t="n">
        <x:v>5668</x:v>
      </x:c>
    </x:row>
    <x:row r="28">
      <x:c r="A28" s="17" t="str">
        <x:v>Норникель</x:v>
      </x:c>
      <x:c r="B28" s="17" t="n">
        <x:v>2025</x:v>
      </x:c>
      <x:c r="C28" s="17" t="str">
        <x:v>EBITDA</x:v>
      </x:c>
      <x:c r="D28" s="17" t="str">
        <x:v>Нераспределенные статьи</x:v>
      </x:c>
      <x:c r="E28" s="18" t="n">
        <x:v>-1</x:v>
      </x:c>
      <x:c r="F28" s="18" t="n">
        <x:v>667</x:v>
      </x:c>
      <x:c r="G28" s="18" t="n">
        <x:v>-667</x:v>
      </x:c>
      <x:c r="H28" s="17" t="str">
        <x:v>USD</x:v>
      </x:c>
      <x:c r="I28" s="17" t="str">
        <x:v>МСФО</x:v>
      </x:c>
      <x:c r="J28" s="17" t="n">
        <x:v>29</x:v>
      </x:c>
      <x:c r="K28" s="18" t="n">
        <x:f>SUM(G27,G28)</x:f>
        <x:v>5668</x:v>
      </x:c>
      <x:c r="L28" s="18" t="n">
        <x:v>5668</x:v>
      </x:c>
    </x:row>
    <x:row r="29">
      <x:c r="A29" s="13" t="str">
        <x:v>ГАЗПРОМ</x:v>
      </x:c>
      <x:c r="B29" s="13" t="n">
        <x:v>2025</x:v>
      </x:c>
      <x:c r="C29" s="13" t="str">
        <x:v>Чистый долг</x:v>
      </x:c>
      <x:c r="D29" s="13" t="str">
        <x:v>Долгосрочные кредиты и займы</x:v>
      </x:c>
      <x:c r="E29" s="14" t="n">
        <x:v>1</x:v>
      </x:c>
      <x:c r="F29" s="14" t="n">
        <x:v>5238487</x:v>
      </x:c>
      <x:c r="G29" s="14" t="n">
        <x:v>5238487</x:v>
      </x:c>
      <x:c r="H29" s="13" t="str">
        <x:v>RUB</x:v>
      </x:c>
      <x:c r="I29" s="13" t="str">
        <x:v>Отчет эмитента</x:v>
      </x:c>
      <x:c r="J29" s="13" t="str">
        <x:v>Расчетная таблица чистого долга</x:v>
      </x:c>
      <x:c r="K29" s="14" t="n">
        <x:f>SUM(G29,G30,G31)</x:f>
        <x:v>6104462</x:v>
      </x:c>
      <x:c r="L29" s="14" t="n">
        <x:v>6104462</x:v>
      </x:c>
    </x:row>
    <x:row r="30">
      <x:c r="A30" s="13" t="str">
        <x:v>ГАЗПРОМ</x:v>
      </x:c>
      <x:c r="B30" s="13" t="n">
        <x:v>2025</x:v>
      </x:c>
      <x:c r="C30" s="13" t="str">
        <x:v>Чистый долг</x:v>
      </x:c>
      <x:c r="D30" s="13" t="str">
        <x:v>Краткосрочные кредиты и займы</x:v>
      </x:c>
      <x:c r="E30" s="14" t="n">
        <x:v>1</x:v>
      </x:c>
      <x:c r="F30" s="14" t="n">
        <x:v>1499165</x:v>
      </x:c>
      <x:c r="G30" s="14" t="n">
        <x:v>1499165</x:v>
      </x:c>
      <x:c r="H30" s="13" t="str">
        <x:v>RUB</x:v>
      </x:c>
      <x:c r="I30" s="13" t="str">
        <x:v>Отчет эмитента</x:v>
      </x:c>
      <x:c r="J30" s="13" t="str">
        <x:v>Расчетная таблица чистого долга</x:v>
      </x:c>
      <x:c r="K30" s="14" t="n">
        <x:f>SUM(G29,G30,G31)</x:f>
        <x:v>6104462</x:v>
      </x:c>
      <x:c r="L30" s="14" t="n">
        <x:v>6104462</x:v>
      </x:c>
    </x:row>
    <x:row r="31">
      <x:c r="A31" s="15" t="str">
        <x:v>ГАЗПРОМ</x:v>
      </x:c>
      <x:c r="B31" s="15" t="n">
        <x:v>2025</x:v>
      </x:c>
      <x:c r="C31" s="15" t="str">
        <x:v>Чистый долг</x:v>
      </x:c>
      <x:c r="D31" s="15" t="str">
        <x:v>Денежные средства и эквиваленты</x:v>
      </x:c>
      <x:c r="E31" s="16" t="n">
        <x:v>-1</x:v>
      </x:c>
      <x:c r="F31" s="16" t="n">
        <x:v>633190</x:v>
      </x:c>
      <x:c r="G31" s="16" t="n">
        <x:v>-633190</x:v>
      </x:c>
      <x:c r="H31" s="15" t="str">
        <x:v>RUB</x:v>
      </x:c>
      <x:c r="I31" s="15" t="str">
        <x:v>Отчет эмитента</x:v>
      </x:c>
      <x:c r="J31" s="15" t="str">
        <x:v>Расчетная таблица чистого долга</x:v>
      </x:c>
      <x:c r="K31" s="16" t="n">
        <x:f>SUM(G29,G30,G31)</x:f>
        <x:v>6104462</x:v>
      </x:c>
      <x:c r="L31" s="16" t="n">
        <x:v>6104462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1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36" hidden="0" customWidth="1"/>
  </x:cols>
  <x:sheetData>
    <x:row r="1" ht="27" customHeight="1">
      <x:c r="A1" s="2" t="str">
        <x:v>Enterprise Value to Equity Bridge — поля для ручного заполнения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3" ht="48" customHeight="1">
      <x:c r="A3" s="9" t="str">
        <x:v>Компания</x:v>
      </x:c>
      <x:c r="B3" s="9" t="str">
        <x:v>Тикер</x:v>
      </x:c>
      <x:c r="C3" s="9" t="str">
        <x:v>Цена</x:v>
      </x:c>
      <x:c r="D3" s="9" t="str">
        <x:v>Количество акций, млн</x:v>
      </x:c>
      <x:c r="E3" s="9" t="str">
        <x:v>Капитализация</x:v>
      </x:c>
      <x:c r="F3" s="9" t="str">
        <x:v>Краткосрочный долг</x:v>
      </x:c>
      <x:c r="G3" s="9" t="str">
        <x:v>Долгосрочный долг</x:v>
      </x:c>
      <x:c r="H3" s="9" t="str">
        <x:v>Арендные обязательства</x:v>
      </x:c>
      <x:c r="I3" s="9" t="str">
        <x:v>Денежные средства</x:v>
      </x:c>
      <x:c r="J3" s="9" t="str">
        <x:v>Краткосрочные инвестиции</x:v>
      </x:c>
      <x:c r="K3" s="9" t="str">
        <x:v>Расчетный чистый долг</x:v>
      </x:c>
      <x:c r="L3" s="9" t="str">
        <x:v>Раскрытый чистый долг</x:v>
      </x:c>
      <x:c r="M3" s="9" t="str">
        <x:v>Minority interest</x:v>
      </x:c>
      <x:c r="N3" s="9" t="str">
        <x:v>Привилегированные акции</x:v>
      </x:c>
      <x:c r="O3" s="9" t="str">
        <x:v>Enterprise Value</x:v>
      </x:c>
      <x:c r="P3" s="9" t="str">
        <x:v>Комментарий</x:v>
      </x:c>
    </x:row>
    <x:row r="4">
      <x:c r="A4" t="str">
        <x:v>ЛУКОЙЛ</x:v>
      </x:c>
      <x:c r="B4" t="str">
        <x:v>LKOH</x:v>
      </x:c>
      <x:c r="C4" s="10"/>
      <x:c r="D4" s="10"/>
      <x:c r="E4" s="10" t="str">
        <x:f>IF(OR(C4="",D4=""),"",C4*D4)</x:f>
      </x:c>
      <x:c r="F4" s="10"/>
      <x:c r="G4" s="10"/>
      <x:c r="H4" s="10"/>
      <x:c r="I4" s="10"/>
      <x:c r="J4" s="10"/>
      <x:c r="K4" s="10" t="str">
        <x:f>IF(COUNTA(F4:J4)&lt;3,"",F4+G4+H4-I4-J4)</x:f>
      </x:c>
      <x:c r="L4" s="10" t="n">
        <x:v>-225803</x:v>
      </x:c>
      <x:c r="M4" s="10"/>
      <x:c r="N4" s="10"/>
      <x:c r="O4" s="10" t="str">
        <x:f>IF(E4="","",E4+IF(K4&lt;&gt;"",K4,IF(L4="",0,L4))+IF(M4="",0,M4)+IF(N4="",0,N4))</x:f>
      </x:c>
      <x:c r="P4" t="str">
        <x:v>Котировки и число акций не загружены</x:v>
      </x:c>
    </x:row>
    <x:row r="5">
      <x:c r="A5" t="str">
        <x:v>ГАЗПРОМ</x:v>
      </x:c>
      <x:c r="B5" t="str">
        <x:v>GAZP</x:v>
      </x:c>
      <x:c r="C5" s="10"/>
      <x:c r="D5" s="10"/>
      <x:c r="E5" s="10" t="str">
        <x:f>IF(OR(C5="",D5=""),"",C5*D5)</x:f>
      </x:c>
      <x:c r="F5" s="10"/>
      <x:c r="G5" s="10"/>
      <x:c r="H5" s="10"/>
      <x:c r="I5" s="10"/>
      <x:c r="J5" s="10"/>
      <x:c r="K5" s="10" t="str">
        <x:f>IF(COUNTA(F5:J5)&lt;3,"",F5+G5+H5-I5-J5)</x:f>
      </x:c>
      <x:c r="L5" s="10" t="n">
        <x:v>6104462</x:v>
      </x:c>
      <x:c r="M5" s="10"/>
      <x:c r="N5" s="10"/>
      <x:c r="O5" s="10" t="str">
        <x:f>IF(E5="","",E5+IF(K5&lt;&gt;"",K5,IF(L5="",0,L5))+IF(M5="",0,M5)+IF(N5="",0,N5))</x:f>
      </x:c>
      <x:c r="P5" t="str">
        <x:v>Котировки и число акций не загружены</x:v>
      </x:c>
    </x:row>
    <x:row r="6">
      <x:c r="A6" t="str">
        <x:v>ЯНДЕКС</x:v>
      </x:c>
      <x:c r="B6" t="str">
        <x:v>YDEX</x:v>
      </x:c>
      <x:c r="C6" s="10"/>
      <x:c r="D6" s="10"/>
      <x:c r="E6" s="10" t="str">
        <x:f>IF(OR(C6="",D6=""),"",C6*D6)</x:f>
      </x:c>
      <x:c r="F6" s="10"/>
      <x:c r="G6" s="10"/>
      <x:c r="H6" s="10"/>
      <x:c r="I6" s="10"/>
      <x:c r="J6" s="10"/>
      <x:c r="K6" s="10" t="str">
        <x:f>IF(COUNTA(F6:J6)&lt;3,"",F6+G6+H6-I6-J6)</x:f>
      </x:c>
      <x:c r="L6" s="10" t="n">
        <x:v>47705</x:v>
      </x:c>
      <x:c r="M6" s="10"/>
      <x:c r="N6" s="10"/>
      <x:c r="O6" s="10" t="str">
        <x:f>IF(E6="","",E6+IF(K6&lt;&gt;"",K6,IF(L6="",0,L6))+IF(M6="",0,M6)+IF(N6="",0,N6))</x:f>
      </x:c>
      <x:c r="P6" t="str">
        <x:v>Котировки и число акций не загружены</x:v>
      </x:c>
    </x:row>
    <x:row r="7">
      <x:c r="A7" t="str">
        <x:v>Т-Технологии</x:v>
      </x:c>
      <x:c r="B7" t="str">
        <x:v>T</x:v>
      </x:c>
      <x:c r="C7" s="10"/>
      <x:c r="D7" s="10"/>
      <x:c r="E7" s="10" t="str">
        <x:f>IF(OR(C7="",D7=""),"",C7*D7)</x:f>
      </x:c>
      <x:c r="F7" s="10"/>
      <x:c r="G7" s="10"/>
      <x:c r="H7" s="10"/>
      <x:c r="I7" s="10"/>
      <x:c r="J7" s="10"/>
      <x:c r="K7" s="10" t="str">
        <x:f>IF(COUNTA(F7:J7)&lt;3,"",F7+G7+H7-I7-J7)</x:f>
      </x:c>
      <x:c r="L7" s="10" t="n">
        <x:v>-817789</x:v>
      </x:c>
      <x:c r="M7" s="10"/>
      <x:c r="N7" s="10"/>
      <x:c r="O7" s="10" t="str">
        <x:f>IF(E7="","",E7+IF(K7&lt;&gt;"",K7,IF(L7="",0,L7))+IF(M7="",0,M7)+IF(N7="",0,N7))</x:f>
      </x:c>
      <x:c r="P7" t="str">
        <x:v>Котировки и число акций не загружены</x:v>
      </x:c>
    </x:row>
    <x:row r="8">
      <x:c r="A8" t="str">
        <x:v>Татнефть</x:v>
      </x:c>
      <x:c r="B8" t="str">
        <x:v>TATN</x:v>
      </x:c>
      <x:c r="C8" s="10"/>
      <x:c r="D8" s="10"/>
      <x:c r="E8" s="10" t="str">
        <x:f>IF(OR(C8="",D8=""),"",C8*D8)</x:f>
      </x:c>
      <x:c r="F8" s="10"/>
      <x:c r="G8" s="10"/>
      <x:c r="H8" s="10"/>
      <x:c r="I8" s="10"/>
      <x:c r="J8" s="10"/>
      <x:c r="K8" s="10" t="str">
        <x:f>IF(COUNTA(F8:J8)&lt;3,"",F8+G8+H8-I8-J8)</x:f>
      </x:c>
      <x:c r="L8" s="10" t="n">
        <x:v>-31993</x:v>
      </x:c>
      <x:c r="M8" s="10"/>
      <x:c r="N8" s="10"/>
      <x:c r="O8" s="10" t="str">
        <x:f>IF(E8="","",E8+IF(K8&lt;&gt;"",K8,IF(L8="",0,L8))+IF(M8="",0,M8)+IF(N8="",0,N8))</x:f>
      </x:c>
      <x:c r="P8" t="str">
        <x:v>Котировки и число акций не загружены</x:v>
      </x:c>
    </x:row>
    <x:row r="9">
      <x:c r="A9" t="str">
        <x:v>Новатэк</x:v>
      </x:c>
      <x:c r="B9" t="str">
        <x:v>NVTK</x:v>
      </x:c>
      <x:c r="C9" s="10"/>
      <x:c r="D9" s="10"/>
      <x:c r="E9" s="10" t="str">
        <x:f>IF(OR(C9="",D9=""),"",C9*D9)</x:f>
      </x:c>
      <x:c r="F9" s="10"/>
      <x:c r="G9" s="10"/>
      <x:c r="H9" s="10"/>
      <x:c r="I9" s="10"/>
      <x:c r="J9" s="10"/>
      <x:c r="K9" s="10" t="str">
        <x:f>IF(COUNTA(F9:J9)&lt;3,"",F9+G9+H9-I9-J9)</x:f>
      </x:c>
      <x:c r="L9" s="10" t="n">
        <x:v>-39270</x:v>
      </x:c>
      <x:c r="M9" s="10"/>
      <x:c r="N9" s="10"/>
      <x:c r="O9" s="10" t="str">
        <x:f>IF(E9="","",E9+IF(K9&lt;&gt;"",K9,IF(L9="",0,L9))+IF(M9="",0,M9)+IF(N9="",0,N9))</x:f>
      </x:c>
      <x:c r="P9" t="str">
        <x:v>Котировки и число акций не загружены</x:v>
      </x:c>
    </x:row>
    <x:row r="10">
      <x:c r="A10" t="str">
        <x:v>Норникель</x:v>
      </x:c>
      <x:c r="B10" t="str">
        <x:v>GMKN</x:v>
      </x:c>
      <x:c r="C10" s="10"/>
      <x:c r="D10" s="10"/>
      <x:c r="E10" s="10" t="str">
        <x:f>IF(OR(C10="",D10=""),"",C10*D10)</x:f>
      </x:c>
      <x:c r="F10" s="10"/>
      <x:c r="G10" s="10"/>
      <x:c r="H10" s="10"/>
      <x:c r="I10" s="10"/>
      <x:c r="J10" s="10"/>
      <x:c r="K10" s="10" t="str">
        <x:f>IF(COUNTA(F10:J10)&lt;3,"",F10+G10+H10-I10-J10)</x:f>
      </x:c>
      <x:c r="L10" s="10"/>
      <x:c r="M10" s="10"/>
      <x:c r="N10" s="10"/>
      <x:c r="O10" s="10" t="str">
        <x:f>IF(E10="","",E10+IF(K10&lt;&gt;"",K10,IF(L10="",0,L10))+IF(M10="",0,M10)+IF(N10="",0,N10))</x:f>
      </x:c>
      <x:c r="P10" t="str">
        <x:v>Котировки и число акций не загружены</x:v>
      </x:c>
    </x:row>
    <x:row r="11">
      <x:c r="A11" t="str">
        <x:v>Озон</x:v>
      </x:c>
      <x:c r="B11" t="str">
        <x:v>OZON</x:v>
      </x:c>
      <x:c r="C11" s="10"/>
      <x:c r="D11" s="10"/>
      <x:c r="E11" s="10" t="str">
        <x:f>IF(OR(C11="",D11=""),"",C11*D11)</x:f>
      </x:c>
      <x:c r="F11" s="10"/>
      <x:c r="G11" s="10"/>
      <x:c r="H11" s="10"/>
      <x:c r="I11" s="10"/>
      <x:c r="J11" s="10"/>
      <x:c r="K11" s="10" t="str">
        <x:f>IF(COUNTA(F11:J11)&lt;3,"",F11+G11+H11-I11-J11)</x:f>
      </x:c>
      <x:c r="L11" s="10" t="n">
        <x:v>-135937</x:v>
      </x:c>
      <x:c r="M11" s="10"/>
      <x:c r="N11" s="10"/>
      <x:c r="O11" s="10" t="str">
        <x:f>IF(E11="","",E11+IF(K11&lt;&gt;"",K11,IF(L11="",0,L11))+IF(M11="",0,M11)+IF(N11="",0,N11))</x:f>
      </x:c>
      <x:c r="P11" t="str">
        <x:v>Котировки и число акций не загружены</x:v>
      </x:c>
    </x:row>
    <x:row r="12">
      <x:c r="A12" t="str">
        <x:v>X5</x:v>
      </x:c>
      <x:c r="B12" t="str">
        <x:v>X5</x:v>
      </x:c>
      <x:c r="C12" s="10"/>
      <x:c r="D12" s="10"/>
      <x:c r="E12" s="10" t="str">
        <x:f>IF(OR(C12="",D12=""),"",C12*D12)</x:f>
      </x:c>
      <x:c r="F12" s="10"/>
      <x:c r="G12" s="10"/>
      <x:c r="H12" s="10"/>
      <x:c r="I12" s="10"/>
      <x:c r="J12" s="10"/>
      <x:c r="K12" s="10" t="str">
        <x:f>IF(COUNTA(F12:J12)&lt;3,"",F12+G12+H12-I12-J12)</x:f>
      </x:c>
      <x:c r="L12" s="10" t="n">
        <x:v>938745</x:v>
      </x:c>
      <x:c r="M12" s="10"/>
      <x:c r="N12" s="10"/>
      <x:c r="O12" s="10" t="str">
        <x:f>IF(E12="","",E12+IF(K12&lt;&gt;"",K12,IF(L12="",0,L12))+IF(M12="",0,M12)+IF(N12="",0,N12))</x:f>
      </x:c>
      <x:c r="P12" t="str">
        <x:v>Котировки и число акций не загружены</x:v>
      </x:c>
    </x:row>
    <x:row r="13">
      <x:c r="A13" t="str">
        <x:v>Роснефть</x:v>
      </x:c>
      <x:c r="B13" t="str">
        <x:v>ROSN</x:v>
      </x:c>
      <x:c r="C13" s="10"/>
      <x:c r="D13" s="10"/>
      <x:c r="E13" s="10" t="str">
        <x:f>IF(OR(C13="",D13=""),"",C13*D13)</x:f>
      </x:c>
      <x:c r="F13" s="10"/>
      <x:c r="G13" s="10"/>
      <x:c r="H13" s="10"/>
      <x:c r="I13" s="10"/>
      <x:c r="J13" s="10"/>
      <x:c r="K13" s="10" t="str">
        <x:f>IF(COUNTA(F13:J13)&lt;3,"",F13+G13+H13-I13-J13)</x:f>
      </x:c>
      <x:c r="L13" s="10"/>
      <x:c r="M13" s="10"/>
      <x:c r="N13" s="10"/>
      <x:c r="O13" s="10" t="str">
        <x:f>IF(E13="","",E13+IF(K13&lt;&gt;"",K13,IF(L13="",0,L13))+IF(M13="",0,M13)+IF(N13="",0,N13))</x:f>
      </x:c>
      <x:c r="P13" t="str">
        <x:v>Котировки и число акций не загружены</x:v>
      </x:c>
    </x:row>
    <x:row r="14">
      <x:c r="A14" t="str">
        <x:v>Полюс</x:v>
      </x:c>
      <x:c r="B14" t="str">
        <x:v>PLZL</x:v>
      </x:c>
      <x:c r="C14" s="10"/>
      <x:c r="D14" s="10"/>
      <x:c r="E14" s="10" t="str">
        <x:f>IF(OR(C14="",D14=""),"",C14*D14)</x:f>
      </x:c>
      <x:c r="F14" s="10"/>
      <x:c r="G14" s="10"/>
      <x:c r="H14" s="10"/>
      <x:c r="I14" s="10"/>
      <x:c r="J14" s="10"/>
      <x:c r="K14" s="10" t="str">
        <x:f>IF(COUNTA(F14:J14)&lt;3,"",F14+G14+H14-I14-J14)</x:f>
      </x:c>
      <x:c r="L14" s="10" t="n">
        <x:v>555322</x:v>
      </x:c>
      <x:c r="M14" s="10"/>
      <x:c r="N14" s="10"/>
      <x:c r="O14" s="10" t="str">
        <x:f>IF(E14="","",E14+IF(K14&lt;&gt;"",K14,IF(L14="",0,L14))+IF(M14="",0,M14)+IF(N14="",0,N14))</x:f>
      </x:c>
      <x:c r="P14" t="str">
        <x:v>Котировки и число акций не загружены</x:v>
      </x:c>
    </x:row>
    <x:row r="15">
      <x:c r="A15" t="str">
        <x:v>HeadHunter</x:v>
      </x:c>
      <x:c r="B15" t="str">
        <x:v>HEAD</x:v>
      </x:c>
      <x:c r="C15" s="10"/>
      <x:c r="D15" s="10"/>
      <x:c r="E15" s="10" t="str">
        <x:f>IF(OR(C15="",D15=""),"",C15*D15)</x:f>
      </x:c>
      <x:c r="F15" s="10"/>
      <x:c r="G15" s="10"/>
      <x:c r="H15" s="10"/>
      <x:c r="I15" s="10"/>
      <x:c r="J15" s="10"/>
      <x:c r="K15" s="10" t="str">
        <x:f>IF(COUNTA(F15:J15)&lt;3,"",F15+G15+H15-I15-J15)</x:f>
      </x:c>
      <x:c r="L15" s="10" t="n">
        <x:v>-14686.736</x:v>
      </x:c>
      <x:c r="M15" s="10"/>
      <x:c r="N15" s="10"/>
      <x:c r="O15" s="10" t="str">
        <x:f>IF(E15="","",E15+IF(K15&lt;&gt;"",K15,IF(L15="",0,L15))+IF(M15="",0,M15)+IF(N15="",0,N15))</x:f>
      </x:c>
      <x:c r="P15" t="str">
        <x:v>Котировки и число акций не загружены</x:v>
      </x:c>
    </x:row>
    <x:row r="16">
      <x:c r="A16" t="str">
        <x:v>МТС</x:v>
      </x:c>
      <x:c r="B16" t="str">
        <x:v>MTSS</x:v>
      </x:c>
      <x:c r="C16" s="10"/>
      <x:c r="D16" s="10"/>
      <x:c r="E16" s="10" t="str">
        <x:f>IF(OR(C16="",D16=""),"",C16*D16)</x:f>
      </x:c>
      <x:c r="F16" s="10"/>
      <x:c r="G16" s="10"/>
      <x:c r="H16" s="10"/>
      <x:c r="I16" s="10"/>
      <x:c r="J16" s="10"/>
      <x:c r="K16" s="10" t="str">
        <x:f>IF(COUNTA(F16:J16)&lt;3,"",F16+G16+H16-I16-J16)</x:f>
      </x:c>
      <x:c r="L16" s="10"/>
      <x:c r="M16" s="10"/>
      <x:c r="N16" s="10"/>
      <x:c r="O16" s="10" t="str">
        <x:f>IF(E16="","",E16+IF(K16&lt;&gt;"",K16,IF(L16="",0,L16))+IF(M16="",0,M16)+IF(N16="",0,N16))</x:f>
      </x:c>
      <x:c r="P16" t="str">
        <x:v>Котировки и число акций не загружены</x:v>
      </x:c>
    </x:row>
    <x:row r="17">
      <x:c r="A17" t="str">
        <x:v>Интер РАО</x:v>
      </x:c>
      <x:c r="B17" t="str">
        <x:v>IRAO</x:v>
      </x:c>
      <x:c r="C17" s="10"/>
      <x:c r="D17" s="10"/>
      <x:c r="E17" s="10" t="str">
        <x:f>IF(OR(C17="",D17=""),"",C17*D17)</x:f>
      </x:c>
      <x:c r="F17" s="10"/>
      <x:c r="G17" s="10"/>
      <x:c r="H17" s="10"/>
      <x:c r="I17" s="10"/>
      <x:c r="J17" s="10"/>
      <x:c r="K17" s="10" t="str">
        <x:f>IF(COUNTA(F17:J17)&lt;3,"",F17+G17+H17-I17-J17)</x:f>
      </x:c>
      <x:c r="L17" s="10" t="n">
        <x:v>-348292</x:v>
      </x:c>
      <x:c r="M17" s="10"/>
      <x:c r="N17" s="10"/>
      <x:c r="O17" s="10" t="str">
        <x:f>IF(E17="","",E17+IF(K17&lt;&gt;"",K17,IF(L17="",0,L17))+IF(M17="",0,M17)+IF(N17="",0,N17))</x:f>
      </x:c>
      <x:c r="P17" t="str">
        <x:v>Котировки и число акций не загружены</x:v>
      </x:c>
    </x:row>
    <x:row r="18">
      <x:c r="A18" t="str">
        <x:v>Северсталь</x:v>
      </x:c>
      <x:c r="B18" t="str">
        <x:v>CHMF</x:v>
      </x:c>
      <x:c r="C18" s="10"/>
      <x:c r="D18" s="10"/>
      <x:c r="E18" s="10" t="str">
        <x:f>IF(OR(C18="",D18=""),"",C18*D18)</x:f>
      </x:c>
      <x:c r="F18" s="10"/>
      <x:c r="G18" s="10"/>
      <x:c r="H18" s="10"/>
      <x:c r="I18" s="10"/>
      <x:c r="J18" s="10"/>
      <x:c r="K18" s="10" t="str">
        <x:f>IF(COUNTA(F18:J18)&lt;3,"",F18+G18+H18-I18-J18)</x:f>
      </x:c>
      <x:c r="L18" s="10" t="n">
        <x:v>21665</x:v>
      </x:c>
      <x:c r="M18" s="10"/>
      <x:c r="N18" s="10"/>
      <x:c r="O18" s="10" t="str">
        <x:f>IF(E18="","",E18+IF(K18&lt;&gt;"",K18,IF(L18="",0,L18))+IF(M18="",0,M18)+IF(N18="",0,N18))</x:f>
      </x:c>
      <x:c r="P18" t="str">
        <x:v>Котировки и число акций не загружены</x:v>
      </x:c>
    </x:row>
    <x:row r="19">
      <x:c r="A19" t="str">
        <x:v>РУСАЛ</x:v>
      </x:c>
      <x:c r="B19" t="str">
        <x:v>RUAL</x:v>
      </x:c>
      <x:c r="C19" s="10"/>
      <x:c r="D19" s="10"/>
      <x:c r="E19" s="10" t="str">
        <x:f>IF(OR(C19="",D19=""),"",C19*D19)</x:f>
      </x:c>
      <x:c r="F19" s="10"/>
      <x:c r="G19" s="10"/>
      <x:c r="H19" s="10"/>
      <x:c r="I19" s="10"/>
      <x:c r="J19" s="10"/>
      <x:c r="K19" s="10" t="str">
        <x:f>IF(COUNTA(F19:J19)&lt;3,"",F19+G19+H19-I19-J19)</x:f>
      </x:c>
      <x:c r="L19" s="10" t="n">
        <x:v>8054</x:v>
      </x:c>
      <x:c r="M19" s="10"/>
      <x:c r="N19" s="10"/>
      <x:c r="O19" s="10" t="str">
        <x:f>IF(E19="","",E19+IF(K19&lt;&gt;"",K19,IF(L19="",0,L19))+IF(M19="",0,M19)+IF(N19="",0,N19))</x:f>
      </x:c>
      <x:c r="P19" t="str">
        <x:v>Котировки и число акций не загружены</x:v>
      </x:c>
    </x:row>
    <x:row r="20">
      <x:c r="A20" t="str">
        <x:v>НЛМК</x:v>
      </x:c>
      <x:c r="B20" t="str">
        <x:v>NLMK</x:v>
      </x:c>
      <x:c r="C20" s="10"/>
      <x:c r="D20" s="10"/>
      <x:c r="E20" s="10" t="str">
        <x:f>IF(OR(C20="",D20=""),"",C20*D20)</x:f>
      </x:c>
      <x:c r="F20" s="10"/>
      <x:c r="G20" s="10"/>
      <x:c r="H20" s="10"/>
      <x:c r="I20" s="10"/>
      <x:c r="J20" s="10"/>
      <x:c r="K20" s="10" t="str">
        <x:f>IF(COUNTA(F20:J20)&lt;3,"",F20+G20+H20-I20-J20)</x:f>
      </x:c>
      <x:c r="L20" s="10" t="n">
        <x:v>-45664</x:v>
      </x:c>
      <x:c r="M20" s="10"/>
      <x:c r="N20" s="10"/>
      <x:c r="O20" s="10" t="str">
        <x:f>IF(E20="","",E20+IF(K20&lt;&gt;"",K20,IF(L20="",0,L20))+IF(M20="",0,M20)+IF(N20="",0,N20))</x:f>
      </x:c>
      <x:c r="P20" t="str">
        <x:v>Котировки и число акций не загружены</x:v>
      </x:c>
    </x:row>
    <x:row r="21">
      <x:c r="A21" t="str">
        <x:v>ФосАгро</x:v>
      </x:c>
      <x:c r="B21" t="str">
        <x:v>PHOR</x:v>
      </x:c>
      <x:c r="C21" s="10"/>
      <x:c r="D21" s="10"/>
      <x:c r="E21" s="10" t="str">
        <x:f>IF(OR(C21="",D21=""),"",C21*D21)</x:f>
      </x:c>
      <x:c r="F21" s="10"/>
      <x:c r="G21" s="10"/>
      <x:c r="H21" s="10"/>
      <x:c r="I21" s="10"/>
      <x:c r="J21" s="10"/>
      <x:c r="K21" s="10" t="str">
        <x:f>IF(COUNTA(F21:J21)&lt;3,"",F21+G21+H21-I21-J21)</x:f>
      </x:c>
      <x:c r="L21" s="10" t="n">
        <x:v>320468</x:v>
      </x:c>
      <x:c r="M21" s="10"/>
      <x:c r="N21" s="10"/>
      <x:c r="O21" s="10" t="str">
        <x:f>IF(E21="","",E21+IF(K21&lt;&gt;"",K21,IF(L21="",0,L21))+IF(M21="",0,M21)+IF(N21="",0,N21))</x:f>
      </x:c>
      <x:c r="P21" t="str">
        <x:v>Котировки и число акций не загружены</x:v>
      </x:c>
    </x:row>
    <x:row r="22">
      <x:c r="A22" t="str">
        <x:v>Ростелеком</x:v>
      </x:c>
      <x:c r="B22" t="str">
        <x:v>RTKM</x:v>
      </x:c>
      <x:c r="C22" s="10"/>
      <x:c r="D22" s="10"/>
      <x:c r="E22" s="10" t="str">
        <x:f>IF(OR(C22="",D22=""),"",C22*D22)</x:f>
      </x:c>
      <x:c r="F22" s="10"/>
      <x:c r="G22" s="10"/>
      <x:c r="H22" s="10"/>
      <x:c r="I22" s="10"/>
      <x:c r="J22" s="10"/>
      <x:c r="K22" s="10" t="str">
        <x:f>IF(COUNTA(F22:J22)&lt;3,"",F22+G22+H22-I22-J22)</x:f>
      </x:c>
      <x:c r="L22" s="10" t="n">
        <x:v>689637</x:v>
      </x:c>
      <x:c r="M22" s="10"/>
      <x:c r="N22" s="10"/>
      <x:c r="O22" s="10" t="str">
        <x:f>IF(E22="","",E22+IF(K22&lt;&gt;"",K22,IF(L22="",0,L22))+IF(M22="",0,M22)+IF(N22="",0,N22))</x:f>
      </x:c>
      <x:c r="P22" t="str">
        <x:v>Котировки и число акций не загружены</x:v>
      </x:c>
    </x:row>
    <x:row r="23">
      <x:c r="A23" t="str">
        <x:v>Аэрофлот</x:v>
      </x:c>
      <x:c r="B23" t="str">
        <x:v>AFLT</x:v>
      </x:c>
      <x:c r="C23" s="10"/>
      <x:c r="D23" s="10"/>
      <x:c r="E23" s="10" t="str">
        <x:f>IF(OR(C23="",D23=""),"",C23*D23)</x:f>
      </x:c>
      <x:c r="F23" s="10"/>
      <x:c r="G23" s="10"/>
      <x:c r="H23" s="10"/>
      <x:c r="I23" s="10"/>
      <x:c r="J23" s="10"/>
      <x:c r="K23" s="10" t="str">
        <x:f>IF(COUNTA(F23:J23)&lt;3,"",F23+G23+H23-I23-J23)</x:f>
      </x:c>
      <x:c r="L23" s="10" t="n">
        <x:v>535492</x:v>
      </x:c>
      <x:c r="M23" s="10"/>
      <x:c r="N23" s="10"/>
      <x:c r="O23" s="10" t="str">
        <x:f>IF(E23="","",E23+IF(K23&lt;&gt;"",K23,IF(L23="",0,L23))+IF(M23="",0,M23)+IF(N23="",0,N23))</x:f>
      </x:c>
      <x:c r="P23" t="str">
        <x:v>Котировки и число акций не загружены</x:v>
      </x:c>
    </x:row>
    <x:row r="24">
      <x:c r="A24" t="str">
        <x:v>ММК</x:v>
      </x:c>
      <x:c r="B24" t="str">
        <x:v>MAGN</x:v>
      </x:c>
      <x:c r="C24" s="10"/>
      <x:c r="D24" s="10"/>
      <x:c r="E24" s="10" t="str">
        <x:f>IF(OR(C24="",D24=""),"",C24*D24)</x:f>
      </x:c>
      <x:c r="F24" s="10"/>
      <x:c r="G24" s="10"/>
      <x:c r="H24" s="10"/>
      <x:c r="I24" s="10"/>
      <x:c r="J24" s="10"/>
      <x:c r="K24" s="10" t="str">
        <x:f>IF(COUNTA(F24:J24)&lt;3,"",F24+G24+H24-I24-J24)</x:f>
      </x:c>
      <x:c r="L24" s="10" t="n">
        <x:v>-79923</x:v>
      </x:c>
      <x:c r="M24" s="10"/>
      <x:c r="N24" s="10"/>
      <x:c r="O24" s="10" t="str">
        <x:f>IF(E24="","",E24+IF(K24&lt;&gt;"",K24,IF(L24="",0,L24))+IF(M24="",0,M24)+IF(N24="",0,N24))</x:f>
      </x:c>
      <x:c r="P24" t="str">
        <x:v>Котировки и число акций не загружены</x:v>
      </x:c>
    </x:row>
    <x:row r="25">
      <x:c r="A25" t="str">
        <x:v>Эн+ Груп</x:v>
      </x:c>
      <x:c r="B25" t="str">
        <x:v>ENPG</x:v>
      </x:c>
      <x:c r="C25" s="10"/>
      <x:c r="D25" s="10"/>
      <x:c r="E25" s="10" t="str">
        <x:f>IF(OR(C25="",D25=""),"",C25*D25)</x:f>
      </x:c>
      <x:c r="F25" s="10"/>
      <x:c r="G25" s="10"/>
      <x:c r="H25" s="10"/>
      <x:c r="I25" s="10"/>
      <x:c r="J25" s="10"/>
      <x:c r="K25" s="10" t="str">
        <x:f>IF(COUNTA(F25:J25)&lt;3,"",F25+G25+H25-I25-J25)</x:f>
      </x:c>
      <x:c r="L25" s="10" t="n">
        <x:v>11109</x:v>
      </x:c>
      <x:c r="M25" s="10"/>
      <x:c r="N25" s="10"/>
      <x:c r="O25" s="10" t="str">
        <x:f>IF(E25="","",E25+IF(K25&lt;&gt;"",K25,IF(L25="",0,L25))+IF(M25="",0,M25)+IF(N25="",0,N25))</x:f>
      </x:c>
      <x:c r="P25" t="str">
        <x:v>Котировки и число акций не загружены</x:v>
      </x:c>
    </x:row>
    <x:row r="26">
      <x:c r="A26" t="str">
        <x:v>MD Medical</x:v>
      </x:c>
      <x:c r="B26" t="str">
        <x:v>MDMG</x:v>
      </x:c>
      <x:c r="C26" s="10"/>
      <x:c r="D26" s="10"/>
      <x:c r="E26" s="10" t="str">
        <x:f>IF(OR(C26="",D26=""),"",C26*D26)</x:f>
      </x:c>
      <x:c r="F26" s="10"/>
      <x:c r="G26" s="10"/>
      <x:c r="H26" s="10"/>
      <x:c r="I26" s="10"/>
      <x:c r="J26" s="10"/>
      <x:c r="K26" s="10" t="str">
        <x:f>IF(COUNTA(F26:J26)&lt;3,"",F26+G26+H26-I26-J26)</x:f>
      </x:c>
      <x:c r="L26" s="10" t="n">
        <x:v>368</x:v>
      </x:c>
      <x:c r="M26" s="10"/>
      <x:c r="N26" s="10"/>
      <x:c r="O26" s="10" t="str">
        <x:f>IF(E26="","",E26+IF(K26&lt;&gt;"",K26,IF(L26="",0,L26))+IF(M26="",0,M26)+IF(N26="",0,N26))</x:f>
      </x:c>
      <x:c r="P26" t="str">
        <x:v>Котировки и число акций не загружены</x:v>
      </x:c>
    </x:row>
    <x:row r="27">
      <x:c r="A27" t="str">
        <x:v>Лента</x:v>
      </x:c>
      <x:c r="B27" t="str">
        <x:v>LENT</x:v>
      </x:c>
      <x:c r="C27" s="10"/>
      <x:c r="D27" s="10"/>
      <x:c r="E27" s="10" t="str">
        <x:f>IF(OR(C27="",D27=""),"",C27*D27)</x:f>
      </x:c>
      <x:c r="F27" s="10"/>
      <x:c r="G27" s="10"/>
      <x:c r="H27" s="10"/>
      <x:c r="I27" s="10"/>
      <x:c r="J27" s="10"/>
      <x:c r="K27" s="10" t="str">
        <x:f>IF(COUNTA(F27:J27)&lt;3,"",F27+G27+H27-I27-J27)</x:f>
      </x:c>
      <x:c r="L27" s="10" t="n">
        <x:v>168348.644</x:v>
      </x:c>
      <x:c r="M27" s="10"/>
      <x:c r="N27" s="10"/>
      <x:c r="O27" s="10" t="str">
        <x:f>IF(E27="","",E27+IF(K27&lt;&gt;"",K27,IF(L27="",0,L27))+IF(M27="",0,M27)+IF(N27="",0,N27))</x:f>
      </x:c>
      <x:c r="P27" t="str">
        <x:v>Котировки и число акций не загружены</x:v>
      </x:c>
    </x:row>
    <x:row r="28">
      <x:c r="A28" t="str">
        <x:v>Совкомфлот</x:v>
      </x:c>
      <x:c r="B28" t="str">
        <x:v>FLOT</x:v>
      </x:c>
      <x:c r="C28" s="10"/>
      <x:c r="D28" s="10"/>
      <x:c r="E28" s="10" t="str">
        <x:f>IF(OR(C28="",D28=""),"",C28*D28)</x:f>
      </x:c>
      <x:c r="F28" s="10"/>
      <x:c r="G28" s="10"/>
      <x:c r="H28" s="10"/>
      <x:c r="I28" s="10"/>
      <x:c r="J28" s="10"/>
      <x:c r="K28" s="10" t="str">
        <x:f>IF(COUNTA(F28:J28)&lt;3,"",F28+G28+H28-I28-J28)</x:f>
      </x:c>
      <x:c r="L28" s="10" t="n">
        <x:v>359.29</x:v>
      </x:c>
      <x:c r="M28" s="10"/>
      <x:c r="N28" s="10"/>
      <x:c r="O28" s="10" t="str">
        <x:f>IF(E28="","",E28+IF(K28&lt;&gt;"",K28,IF(L28="",0,L28))+IF(M28="",0,M28)+IF(N28="",0,N28))</x:f>
      </x:c>
      <x:c r="P28" t="str">
        <x:v>Котировки и число акций не загружены</x:v>
      </x:c>
    </x:row>
    <x:row r="29">
      <x:c r="A29" t="str">
        <x:v>Банк Санкт-Петербург</x:v>
      </x:c>
      <x:c r="B29" t="str">
        <x:v>BSPB</x:v>
      </x:c>
      <x:c r="C29" s="10"/>
      <x:c r="D29" s="10"/>
      <x:c r="E29" s="10" t="str">
        <x:f>IF(OR(C29="",D29=""),"",C29*D29)</x:f>
      </x:c>
      <x:c r="F29" s="10"/>
      <x:c r="G29" s="10"/>
      <x:c r="H29" s="10"/>
      <x:c r="I29" s="10"/>
      <x:c r="J29" s="10"/>
      <x:c r="K29" s="10" t="str">
        <x:f>IF(COUNTA(F29:J29)&lt;3,"",F29+G29+H29-I29-J29)</x:f>
      </x:c>
      <x:c r="L29" s="10"/>
      <x:c r="M29" s="10"/>
      <x:c r="N29" s="10"/>
      <x:c r="O29" s="10" t="str">
        <x:f>IF(E29="","",E29+IF(K29&lt;&gt;"",K29,IF(L29="",0,L29))+IF(M29="",0,M29)+IF(N29="",0,N29))</x:f>
      </x:c>
      <x:c r="P29" t="str">
        <x:v>Котировки и число акций не загружены</x:v>
      </x:c>
    </x:row>
    <x:row r="30">
      <x:c r="A30" t="str">
        <x:v>АЛРОСА</x:v>
      </x:c>
      <x:c r="B30" t="str">
        <x:v>ALRS</x:v>
      </x:c>
      <x:c r="C30" s="10"/>
      <x:c r="D30" s="10"/>
      <x:c r="E30" s="10" t="str">
        <x:f>IF(OR(C30="",D30=""),"",C30*D30)</x:f>
      </x:c>
      <x:c r="F30" s="10"/>
      <x:c r="G30" s="10"/>
      <x:c r="H30" s="10"/>
      <x:c r="I30" s="10"/>
      <x:c r="J30" s="10"/>
      <x:c r="K30" s="10" t="str">
        <x:f>IF(COUNTA(F30:J30)&lt;3,"",F30+G30+H30-I30-J30)</x:f>
      </x:c>
      <x:c r="L30" s="10" t="n">
        <x:v>88391</x:v>
      </x:c>
      <x:c r="M30" s="10"/>
      <x:c r="N30" s="10"/>
      <x:c r="O30" s="10" t="str">
        <x:f>IF(E30="","",E30+IF(K30&lt;&gt;"",K30,IF(L30="",0,L30))+IF(M30="",0,M30)+IF(N30="",0,N30))</x:f>
      </x:c>
      <x:c r="P30" t="str">
        <x:v>Котировки и число акций не загружены</x:v>
      </x:c>
    </x:row>
    <x:row r="31">
      <x:c r="A31" t="str">
        <x:v>ЦИАН</x:v>
      </x:c>
      <x:c r="B31" t="str">
        <x:v>CNRU</x:v>
      </x:c>
      <x:c r="C31" s="10"/>
      <x:c r="D31" s="10"/>
      <x:c r="E31" s="10" t="str">
        <x:f>IF(OR(C31="",D31=""),"",C31*D31)</x:f>
      </x:c>
      <x:c r="F31" s="10"/>
      <x:c r="G31" s="10"/>
      <x:c r="H31" s="10"/>
      <x:c r="I31" s="10"/>
      <x:c r="J31" s="10"/>
      <x:c r="K31" s="10" t="str">
        <x:f>IF(COUNTA(F31:J31)&lt;3,"",F31+G31+H31-I31-J31)</x:f>
      </x:c>
      <x:c r="L31" s="10" t="n">
        <x:v>-6055</x:v>
      </x:c>
      <x:c r="M31" s="10"/>
      <x:c r="N31" s="10"/>
      <x:c r="O31" s="10" t="str">
        <x:f>IF(E31="","",E31+IF(K31&lt;&gt;"",K31,IF(L31="",0,L31))+IF(M31="",0,M31)+IF(N31="",0,N31))</x:f>
      </x:c>
      <x:c r="P31" t="str">
        <x:v>Котировки и число акций не загружены</x:v>
      </x:c>
    </x:row>
    <x:row r="32">
      <x:c r="A32" t="str">
        <x:v>АФК Система</x:v>
      </x:c>
      <x:c r="B32" t="str">
        <x:v>AFKS</x:v>
      </x:c>
      <x:c r="C32" s="10"/>
      <x:c r="D32" s="10"/>
      <x:c r="E32" s="10" t="str">
        <x:f>IF(OR(C32="",D32=""),"",C32*D32)</x:f>
      </x:c>
      <x:c r="F32" s="10"/>
      <x:c r="G32" s="10"/>
      <x:c r="H32" s="10"/>
      <x:c r="I32" s="10"/>
      <x:c r="J32" s="10"/>
      <x:c r="K32" s="10" t="str">
        <x:f>IF(COUNTA(F32:J32)&lt;3,"",F32+G32+H32-I32-J32)</x:f>
      </x:c>
      <x:c r="L32" s="10" t="n">
        <x:v>1328832.536</x:v>
      </x:c>
      <x:c r="M32" s="10"/>
      <x:c r="N32" s="10"/>
      <x:c r="O32" s="10" t="str">
        <x:f>IF(E32="","",E32+IF(K32&lt;&gt;"",K32,IF(L32="",0,L32))+IF(M32="",0,M32)+IF(N32="",0,N32))</x:f>
      </x:c>
      <x:c r="P32" t="str">
        <x:v>Котировки и число акций не загружены</x:v>
      </x:c>
    </x:row>
  </x:sheetData>
  <x:mergeCells>
    <x:mergeCell ref="A1:P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48" hidden="0" customWidth="1"/>
    <x:col min="4" max="4" width="24" hidden="0" customWidth="1"/>
    <x:col min="5" max="5" width="24" hidden="0" customWidth="1"/>
    <x:col min="6" max="6" width="55" hidden="0" customWidth="1"/>
    <x:col min="7" max="7" width="46" hidden="0" customWidth="1"/>
  </x:cols>
  <x:sheetData>
    <x:row r="1" ht="27" customHeight="1">
      <x:c r="A1" s="2" t="str">
        <x:v>Реестр первичных документов</x:v>
      </x:c>
      <x:c r="B1" s="2"/>
      <x:c r="C1" s="2"/>
      <x:c r="D1" s="2"/>
      <x:c r="E1" s="2"/>
      <x:c r="F1" s="2"/>
      <x:c r="G1" s="2"/>
    </x:row>
    <x:row r="3" ht="48" customHeight="1">
      <x:c r="A3" s="9" t="str">
        <x:v>Компания</x:v>
      </x:c>
      <x:c r="B3" s="9" t="str">
        <x:v>Тип</x:v>
      </x:c>
      <x:c r="C3" s="9" t="str">
        <x:v>Файл</x:v>
      </x:c>
      <x:c r="D3" s="9" t="str">
        <x:v>Страница / раздел</x:v>
      </x:c>
      <x:c r="E3" s="9" t="str">
        <x:v>Что подтверждает</x:v>
      </x:c>
      <x:c r="F3" s="9" t="str">
        <x:v>Путь в архиве</x:v>
      </x:c>
      <x:c r="G3" s="9" t="str">
        <x:v>Комментарий</x:v>
      </x:c>
    </x:row>
    <x:row r="4">
      <x:c r="A4" s="6" t="str">
        <x:v>ЛУКОЙЛ</x:v>
      </x:c>
      <x:c r="B4" s="6" t="str">
        <x:v>МСФО</x:v>
      </x:c>
      <x:c r="C4" s="6" t="str">
        <x:v>Лукойл_МСФО_2025.pdf</x:v>
      </x:c>
      <x:c r="D4" s="6" t="str">
        <x:v>7</x:v>
      </x:c>
      <x:c r="E4" s="6" t="str">
        <x:v>Выручка, чистая прибыль, три формы</x:v>
      </x:c>
      <x:c r="F4" s="6" t="str">
        <x:v>03_Отчетность_и_скриншоты/Лукойл/</x:v>
      </x:c>
      <x:c r="G4" s="6" t="str">
        <x:v>Основной источник выручки и чистой прибыли</x:v>
      </x:c>
    </x:row>
    <x:row r="5">
      <x:c r="A5" s="6" t="str">
        <x:v>ЛУКОЙЛ</x:v>
      </x:c>
      <x:c r="B5" s="6" t="str">
        <x:v>Отчет эмитента</x:v>
      </x:c>
      <x:c r="C5" s="6" t="str">
        <x:v>Отчет эмитента за 12 мес. 2025_раскрываемая.pdf</x:v>
      </x:c>
      <x:c r="D5" s="6" t="str">
        <x:v>8-9</x:v>
      </x:c>
      <x:c r="E5" s="6" t="str">
        <x:v>EBITDA-вариант / чистый долг</x:v>
      </x:c>
      <x:c r="F5" s="6" t="str">
        <x:v>03_Отчетность_и_скриншоты/Лукойл/</x:v>
      </x:c>
      <x:c r="G5" s="6" t="str">
        <x:v>Таблица 1.4.1; сравнительные показатели 2024 пересчитаны</x:v>
      </x:c>
    </x:row>
    <x:row r="6">
      <x:c r="A6" s="6" t="str">
        <x:v>ГАЗПРОМ</x:v>
      </x:c>
      <x:c r="B6" s="6" t="str">
        <x:v>МСФО</x:v>
      </x:c>
      <x:c r="C6" s="6" t="str">
        <x:v>МСФО_Газпром_2025.pdf</x:v>
      </x:c>
      <x:c r="D6" s="6" t="str">
        <x:v>10</x:v>
      </x:c>
      <x:c r="E6" s="6" t="str">
        <x:v>Выручка, чистая прибыль, три формы</x:v>
      </x:c>
      <x:c r="F6" s="6" t="str">
        <x:v>03_Отчетность_и_скриншоты/Газпром/</x:v>
      </x:c>
      <x:c r="G6" s="6" t="str">
        <x:v>Основной источник выручки и чистой прибыли</x:v>
      </x:c>
    </x:row>
    <x:row r="7">
      <x:c r="A7" s="6" t="str">
        <x:v>ГАЗПРОМ</x:v>
      </x:c>
      <x:c r="B7" s="6" t="str">
        <x:v>Отчет эмитента</x:v>
      </x:c>
      <x:c r="C7" s="6" t="str">
        <x:v>Отчет_эмитента_Газпром_2025.docx</x:v>
      </x:c>
      <x:c r="D7" s="6" t="str">
        <x:v>раздел 1.4.1</x:v>
      </x:c>
      <x:c r="E7" s="6" t="str">
        <x:v>EBITDA-вариант / чистый долг</x:v>
      </x:c>
      <x:c r="F7" s="6" t="str">
        <x:v>03_Отчетность_и_скриншоты/Газпром/</x:v>
      </x:c>
      <x:c r="G7" s="6" t="str">
        <x:v>Таблица основных финансовых показателей</x:v>
      </x:c>
    </x:row>
    <x:row r="8">
      <x:c r="A8" s="6" t="str">
        <x:v>ЯНДЕКС</x:v>
      </x:c>
      <x:c r="B8" s="6" t="str">
        <x:v>МСФО</x:v>
      </x:c>
      <x:c r="C8" s="6" t="str">
        <x:v>МСФО_Яндекс_2025.pdf</x:v>
      </x:c>
      <x:c r="D8" s="6" t="str">
        <x:v>8, 9</x:v>
      </x:c>
      <x:c r="E8" s="6" t="str">
        <x:v>Выручка, чистая прибыль, три формы</x:v>
      </x:c>
      <x:c r="F8" s="6" t="str">
        <x:v>03_Отчетность_и_скриншоты/Яндекс/</x:v>
      </x:c>
      <x:c r="G8" s="6" t="str">
        <x:v>Основной источник выручки и чистой прибыли</x:v>
      </x:c>
    </x:row>
    <x:row r="9">
      <x:c r="A9" s="6" t="str">
        <x:v>ЯНДЕКС</x:v>
      </x:c>
      <x:c r="B9" s="6" t="str">
        <x:v>Отчет эмитента</x:v>
      </x:c>
      <x:c r="C9" s="6" t="str">
        <x:v>Яндекс_отчет_эмитента_2025.pdf</x:v>
      </x:c>
      <x:c r="D9" s="6" t="str">
        <x:v>25-27</x:v>
      </x:c>
      <x:c r="E9" s="6" t="str">
        <x:v>EBITDA-вариант / чистый долг</x:v>
      </x:c>
      <x:c r="F9" s="6" t="str">
        <x:v>03_Отчетность_и_скриншоты/Яндекс/</x:v>
      </x:c>
      <x:c r="G9" s="6" t="str">
        <x:v>Скорректированная EBITDA и скорректированный чистый долг</x:v>
      </x:c>
    </x:row>
    <x:row r="10">
      <x:c r="A10" s="6" t="str">
        <x:v>ЯНДЕКС</x:v>
      </x:c>
      <x:c r="B10" s="6" t="str">
        <x:v>Презентация</x:v>
      </x:c>
      <x:c r="C10" s="6" t="str">
        <x:v>Яндекс_презентация_инвесторам_4Q25.pdf</x:v>
      </x:c>
      <x:c r="D10" s="6" t="n">
        <x:v>5</x:v>
      </x:c>
      <x:c r="E10" s="6" t="str">
        <x:v>EBITDA-вариант</x:v>
      </x:c>
      <x:c r="F10" s="6" t="str">
        <x:v>03_Отчетность_и_скриншоты/Яндекс/</x:v>
      </x:c>
      <x:c r="G10" s="6" t="str">
        <x:v>Значение и методологические примечания</x:v>
      </x:c>
    </x:row>
    <x:row r="11">
      <x:c r="A11" s="6" t="str">
        <x:v>Т-Технологии</x:v>
      </x:c>
      <x:c r="B11" s="6" t="str">
        <x:v>МСФО</x:v>
      </x:c>
      <x:c r="C11" s="6" t="str">
        <x:v>Т-Технологии_МСФО_2025.pdf</x:v>
      </x:c>
      <x:c r="D11" s="6" t="str">
        <x:v>9, 10</x:v>
      </x:c>
      <x:c r="E11" s="6" t="str">
        <x:v>Выручка, чистая прибыль, три формы</x:v>
      </x:c>
      <x:c r="F11" s="6" t="str">
        <x:v>03_Отчетность_и_скриншоты/Т-Технологии/</x:v>
      </x:c>
      <x:c r="G11" s="6" t="str">
        <x:v>Основной источник выручки и чистой прибыли</x:v>
      </x:c>
    </x:row>
    <x:row r="12">
      <x:c r="A12" s="6" t="str">
        <x:v>Т-Технологии</x:v>
      </x:c>
      <x:c r="B12" s="6" t="str">
        <x:v>Отчет эмитента</x:v>
      </x:c>
      <x:c r="C12" s="6" t="str">
        <x:v>Т-Технологии_отчет_эмитента_2025.docx</x:v>
      </x:c>
      <x:c r="D12" s="6" t="str">
        <x:v>раздел 1.4.1</x:v>
      </x:c>
      <x:c r="E12" s="6" t="str">
        <x:v>EBITDA-вариант / чистый долг</x:v>
      </x:c>
      <x:c r="F12" s="6" t="str">
        <x:v>03_Отчетность_и_скриншоты/Т-Технологии/</x:v>
      </x:c>
      <x:c r="G12" s="6" t="str">
        <x:v>OIBDA; для оценки приоритетны P/B и P/E</x:v>
      </x:c>
    </x:row>
    <x:row r="13">
      <x:c r="A13" s="6" t="str">
        <x:v>Татнефть</x:v>
      </x:c>
      <x:c r="B13" s="6" t="str">
        <x:v>МСФО</x:v>
      </x:c>
      <x:c r="C13" s="6" t="str">
        <x:v>Татнефть_МСФО_2025.pdf</x:v>
      </x:c>
      <x:c r="D13" s="6" t="str">
        <x:v>8, 9</x:v>
      </x:c>
      <x:c r="E13" s="6" t="str">
        <x:v>Выручка, чистая прибыль, три формы</x:v>
      </x:c>
      <x:c r="F13" s="6" t="str">
        <x:v>03_Отчетность_и_скриншоты/Татнефть/</x:v>
      </x:c>
      <x:c r="G13" s="6" t="str">
        <x:v>Основной источник выручки и чистой прибыли</x:v>
      </x:c>
    </x:row>
    <x:row r="14">
      <x:c r="A14" s="6" t="str">
        <x:v>Татнефть</x:v>
      </x:c>
      <x:c r="B14" s="6" t="str">
        <x:v>Отчет эмитента</x:v>
      </x:c>
      <x:c r="C14" s="6" t="str">
        <x:v>Татнефть_отчет_эмитента_2025.docx</x:v>
      </x:c>
      <x:c r="D14" s="6" t="str">
        <x:v>раздел 1.4.1</x:v>
      </x:c>
      <x:c r="E14" s="6" t="str">
        <x:v>EBITDA-вариант / чистый долг</x:v>
      </x:c>
      <x:c r="F14" s="6" t="str">
        <x:v>03_Отчетность_и_скриншоты/Татнефть/</x:v>
      </x:c>
      <x:c r="G14" s="6" t="str">
        <x:v>Таблица основных финансовых показателей</x:v>
      </x:c>
    </x:row>
    <x:row r="15">
      <x:c r="A15" s="6" t="str">
        <x:v>Новатэк</x:v>
      </x:c>
      <x:c r="B15" s="6" t="str">
        <x:v>МСФО</x:v>
      </x:c>
      <x:c r="C15" s="6" t="str">
        <x:v>Novatek FS 12m2025 RUS (disclosable).pdf</x:v>
      </x:c>
      <x:c r="D15" s="6" t="str">
        <x:v>8, 9</x:v>
      </x:c>
      <x:c r="E15" s="6" t="str">
        <x:v>Выручка, чистая прибыль, три формы</x:v>
      </x:c>
      <x:c r="F15" s="6" t="str">
        <x:v>03_Отчетность_и_скриншоты/Новатэк/</x:v>
      </x:c>
      <x:c r="G15" s="6" t="str">
        <x:v>Основной источник выручки и чистой прибыли</x:v>
      </x:c>
    </x:row>
    <x:row r="16">
      <x:c r="A16" s="6" t="str">
        <x:v>Новатэк</x:v>
      </x:c>
      <x:c r="B16" s="6" t="str">
        <x:v>Отчет эмитента</x:v>
      </x:c>
      <x:c r="C16" s="6" t="str">
        <x:v>Отчет эмитента 2025 год для раскрытия.pdf</x:v>
      </x:c>
      <x:c r="D16" s="6" t="str">
        <x:v>9</x:v>
      </x:c>
      <x:c r="E16" s="6" t="str">
        <x:v>EBITDA-вариант / чистый долг</x:v>
      </x:c>
      <x:c r="F16" s="6" t="str">
        <x:v>03_Отчетность_и_скриншоты/Новатэк/</x:v>
      </x:c>
      <x:c r="G16" s="6" t="str">
        <x:v>Нормализованная EBITDA</x:v>
      </x:c>
    </x:row>
    <x:row r="17">
      <x:c r="A17" s="6" t="str">
        <x:v>Норникель</x:v>
      </x:c>
      <x:c r="B17" s="6" t="str">
        <x:v>МСФО</x:v>
      </x:c>
      <x:c r="C17" s="6" t="str">
        <x:v>Норникель_МСФО_2025.pdf</x:v>
      </x:c>
      <x:c r="D17" s="6" t="str">
        <x:v>6</x:v>
      </x:c>
      <x:c r="E17" s="6" t="str">
        <x:v>Выручка, чистая прибыль, три формы</x:v>
      </x:c>
      <x:c r="F17" s="6" t="str">
        <x:v>03_Отчетность_и_скриншоты/Норникель/</x:v>
      </x:c>
      <x:c r="G17" s="6" t="str">
        <x:v>Основной источник выручки и чистой прибыли</x:v>
      </x:c>
    </x:row>
    <x:row r="18">
      <x:c r="A18" s="6" t="str">
        <x:v>Норникель</x:v>
      </x:c>
      <x:c r="B18" s="6" t="str">
        <x:v>Отчет эмитента</x:v>
      </x:c>
      <x:c r="C18" s="6" t="str">
        <x:v>Норникель_отчет_эмитента_2025.pdf</x:v>
      </x:c>
      <x:c r="D18" s="6" t="str">
        <x:v>14</x:v>
      </x:c>
      <x:c r="E18" s="6" t="str">
        <x:v>EBITDA-вариант / чистый долг</x:v>
      </x:c>
      <x:c r="F18" s="6" t="str">
        <x:v>03_Отчетность_и_скриншоты/Норникель/</x:v>
      </x:c>
      <x:c r="G18" s="6" t="str">
        <x:v>Таблица основных финансовых показателей</x:v>
      </x:c>
    </x:row>
    <x:row r="19">
      <x:c r="A19" s="6" t="str">
        <x:v>Озон</x:v>
      </x:c>
      <x:c r="B19" s="6" t="str">
        <x:v>МСФО</x:v>
      </x:c>
      <x:c r="C19" s="6" t="str">
        <x:v>Озон_МСФО_2025.pdf</x:v>
      </x:c>
      <x:c r="D19" s="6" t="str">
        <x:v>7</x:v>
      </x:c>
      <x:c r="E19" s="6" t="str">
        <x:v>Выручка, чистая прибыль, три формы</x:v>
      </x:c>
      <x:c r="F19" s="6" t="str">
        <x:v>03_Отчетность_и_скриншоты/Озон/</x:v>
      </x:c>
      <x:c r="G19" s="6" t="str">
        <x:v>Основной источник выручки и чистой прибыли</x:v>
      </x:c>
    </x:row>
    <x:row r="20">
      <x:c r="A20" s="6" t="str">
        <x:v>Озон</x:v>
      </x:c>
      <x:c r="B20" s="6" t="str">
        <x:v>Отчет эмитента</x:v>
      </x:c>
      <x:c r="C20" s="6" t="str">
        <x:v>Озон_Отчет_Эмитента_2025.docx</x:v>
      </x:c>
      <x:c r="D20" s="6" t="str">
        <x:v>раздел 1.4.1</x:v>
      </x:c>
      <x:c r="E20" s="6" t="str">
        <x:v>EBITDA-вариант / чистый долг</x:v>
      </x:c>
      <x:c r="F20" s="6" t="str">
        <x:v>03_Отчетность_и_скриншоты/Озон/</x:v>
      </x:c>
      <x:c r="G20" s="6" t="str">
        <x:v>Скорректированная EBITDA и чистый долг по методологии группы</x:v>
      </x:c>
    </x:row>
    <x:row r="21">
      <x:c r="A21" s="6" t="str">
        <x:v>X5</x:v>
      </x:c>
      <x:c r="B21" s="6" t="str">
        <x:v>МСФО</x:v>
      </x:c>
      <x:c r="C21" s="6" t="str">
        <x:v>КЦ_Икс_5_МСФО_2025.pdf</x:v>
      </x:c>
      <x:c r="D21" s="6" t="str">
        <x:v>10</x:v>
      </x:c>
      <x:c r="E21" s="6" t="str">
        <x:v>Выручка, чистая прибыль, три формы</x:v>
      </x:c>
      <x:c r="F21" s="6" t="str">
        <x:v>03_Отчетность_и_скриншоты/КЦ Икс 5/</x:v>
      </x:c>
      <x:c r="G21" s="6" t="str">
        <x:v>Основной источник выручки и чистой прибыли</x:v>
      </x:c>
    </x:row>
    <x:row r="22">
      <x:c r="A22" s="6" t="str">
        <x:v>X5</x:v>
      </x:c>
      <x:c r="B22" s="6" t="str">
        <x:v>Отчет эмитента</x:v>
      </x:c>
      <x:c r="C22" s="6" t="str">
        <x:v>КЦ_Икс_5_отчет_эмитента_2025.pdf</x:v>
      </x:c>
      <x:c r="D22" s="6" t="str">
        <x:v>11-12</x:v>
      </x:c>
      <x:c r="E22" s="6" t="str">
        <x:v>EBITDA-вариант / чистый долг</x:v>
      </x:c>
      <x:c r="F22" s="6" t="str">
        <x:v>03_Отчетность_и_скриншоты/КЦ Икс 5/</x:v>
      </x:c>
      <x:c r="G22" s="6" t="str">
        <x:v>Чистый долг включает обязательства по аренде</x:v>
      </x:c>
    </x:row>
    <x:row r="23">
      <x:c r="A23" s="6" t="str">
        <x:v>Роснефть</x:v>
      </x:c>
      <x:c r="B23" s="6" t="str">
        <x:v>МСФО</x:v>
      </x:c>
      <x:c r="C23" s="6" t="str">
        <x:v>Роснефть_МСФО_2025.pdf</x:v>
      </x:c>
      <x:c r="D23" s="6" t="str">
        <x:v>6</x:v>
      </x:c>
      <x:c r="E23" s="6" t="str">
        <x:v>Выручка, чистая прибыль, три формы</x:v>
      </x:c>
      <x:c r="F23" s="6" t="str">
        <x:v>03_Отчетность_и_скриншоты/Роснефть/</x:v>
      </x:c>
      <x:c r="G23" s="6" t="str">
        <x:v>Основной источник выручки и чистой прибыли</x:v>
      </x:c>
    </x:row>
    <x:row r="24">
      <x:c r="A24" s="6" t="str">
        <x:v>Роснефть</x:v>
      </x:c>
      <x:c r="B24" s="6" t="str">
        <x:v>Отчет эмитента</x:v>
      </x:c>
      <x:c r="C24" s="6" t="str">
        <x:v>Роснефть_отчет_эмитента_2025.pdf</x:v>
      </x:c>
      <x:c r="D24" s="6" t="str">
        <x:v>7</x:v>
      </x:c>
      <x:c r="E24" s="6" t="str">
        <x:v>EBITDA-вариант / чистый долг</x:v>
      </x:c>
      <x:c r="F24" s="6" t="str">
        <x:v>03_Отчетность_и_скриншоты/Роснефть/</x:v>
      </x:c>
      <x:c r="G24" s="6" t="str">
        <x:v>Выручка раскрыта вместе с доходами ассоциированных и совместных предприятий</x:v>
      </x:c>
    </x:row>
    <x:row r="25">
      <x:c r="A25" s="6" t="str">
        <x:v>Полюс</x:v>
      </x:c>
      <x:c r="B25" s="6" t="str">
        <x:v>МСФО</x:v>
      </x:c>
      <x:c r="C25" s="6" t="str">
        <x:v>Полюс_МСФО_2025.pdf</x:v>
      </x:c>
      <x:c r="D25" s="6" t="str">
        <x:v>9, 10</x:v>
      </x:c>
      <x:c r="E25" s="6" t="str">
        <x:v>Выручка, чистая прибыль, три формы</x:v>
      </x:c>
      <x:c r="F25" s="6" t="str">
        <x:v>03_Отчетность_и_скриншоты/Полюс/</x:v>
      </x:c>
      <x:c r="G25" s="6" t="str">
        <x:v>Основной источник выручки и чистой прибыли</x:v>
      </x:c>
    </x:row>
    <x:row r="26">
      <x:c r="A26" s="6" t="str">
        <x:v>Полюс</x:v>
      </x:c>
      <x:c r="B26" s="6" t="str">
        <x:v>Отчет эмитента</x:v>
      </x:c>
      <x:c r="C26" s="6" t="str">
        <x:v>Полюс_отчет_эмитента_2025.pdf</x:v>
      </x:c>
      <x:c r="D26" s="6" t="str">
        <x:v>10</x:v>
      </x:c>
      <x:c r="E26" s="6" t="str">
        <x:v>EBITDA-вариант / чистый долг</x:v>
      </x:c>
      <x:c r="F26" s="6" t="str">
        <x:v>03_Отчетность_и_скриншоты/Полюс/</x:v>
      </x:c>
      <x:c r="G26" s="6" t="str">
        <x:v>Таблица основных финансовых показателей</x:v>
      </x:c>
    </x:row>
    <x:row r="27">
      <x:c r="A27" s="6" t="str">
        <x:v>HeadHunter</x:v>
      </x:c>
      <x:c r="B27" s="6" t="str">
        <x:v>МСФО</x:v>
      </x:c>
      <x:c r="C27" s="6" t="str">
        <x:v>ХХ_МСФО_2025.pdf</x:v>
      </x:c>
      <x:c r="D27" s="6" t="str">
        <x:v>9</x:v>
      </x:c>
      <x:c r="E27" s="6" t="str">
        <x:v>Выручка, чистая прибыль, три формы</x:v>
      </x:c>
      <x:c r="F27" s="6" t="str">
        <x:v>03_Отчетность_и_скриншоты/ХХру/</x:v>
      </x:c>
      <x:c r="G27" s="6" t="str">
        <x:v>Основной источник выручки и чистой прибыли</x:v>
      </x:c>
    </x:row>
    <x:row r="28">
      <x:c r="A28" s="6" t="str">
        <x:v>HeadHunter</x:v>
      </x:c>
      <x:c r="B28" s="6" t="str">
        <x:v>Отчет эмитента</x:v>
      </x:c>
      <x:c r="C28" s="6" t="str">
        <x:v>ХХ_отчет_эмитента_2025.pdf</x:v>
      </x:c>
      <x:c r="D28" s="6" t="str">
        <x:v>17-18</x:v>
      </x:c>
      <x:c r="E28" s="6" t="str">
        <x:v>EBITDA-вариант / чистый долг</x:v>
      </x:c>
      <x:c r="F28" s="6" t="str">
        <x:v>03_Отчетность_и_скриншоты/ХХру/</x:v>
      </x:c>
      <x:c r="G28" s="6" t="str">
        <x:v>Обычная и скорректированная EBITDA</x:v>
      </x:c>
    </x:row>
    <x:row r="29">
      <x:c r="A29" s="6" t="str">
        <x:v>МТС</x:v>
      </x:c>
      <x:c r="B29" s="6" t="str">
        <x:v>МСФО</x:v>
      </x:c>
      <x:c r="C29" s="6" t="str">
        <x:v>МТС_МСФО_2025.pdf</x:v>
      </x:c>
      <x:c r="D29" s="6" t="str">
        <x:v>11</x:v>
      </x:c>
      <x:c r="E29" s="6" t="str">
        <x:v>Выручка, чистая прибыль, три формы</x:v>
      </x:c>
      <x:c r="F29" s="6" t="str">
        <x:v>03_Отчетность_и_скриншоты/МТС/</x:v>
      </x:c>
      <x:c r="G29" s="6" t="str">
        <x:v>Основной источник выручки и чистой прибыли</x:v>
      </x:c>
    </x:row>
    <x:row r="30">
      <x:c r="A30" s="6" t="str">
        <x:v>Интер РАО</x:v>
      </x:c>
      <x:c r="B30" s="6" t="str">
        <x:v>МСФО</x:v>
      </x:c>
      <x:c r="C30" s="6" t="str">
        <x:v>Интер-Рао_МСФО_2025.pdf</x:v>
      </x:c>
      <x:c r="D30" s="6" t="str">
        <x:v>10</x:v>
      </x:c>
      <x:c r="E30" s="6" t="str">
        <x:v>Выручка, чистая прибыль, три формы</x:v>
      </x:c>
      <x:c r="F30" s="6" t="str">
        <x:v>03_Отчетность_и_скриншоты/Интер-Рао/</x:v>
      </x:c>
      <x:c r="G30" s="6" t="str">
        <x:v>Основной источник выручки и чистой прибыли</x:v>
      </x:c>
    </x:row>
    <x:row r="31">
      <x:c r="A31" s="6" t="str">
        <x:v>Интер РАО</x:v>
      </x:c>
      <x:c r="B31" s="6" t="str">
        <x:v>Отчет эмитента</x:v>
      </x:c>
      <x:c r="C31" s="6" t="str">
        <x:v>Интер-Рао_отчет_эмитента_2025.doc</x:v>
      </x:c>
      <x:c r="D31" s="6" t="str">
        <x:v>раздел 1.4.1</x:v>
      </x:c>
      <x:c r="E31" s="6" t="str">
        <x:v>EBITDA-вариант / чистый долг</x:v>
      </x:c>
      <x:c r="F31" s="6" t="str">
        <x:v>03_Отчетность_и_скриншоты/Интер-Рао/</x:v>
      </x:c>
      <x:c r="G31" s="6" t="str">
        <x:v>Таблица основных финансовых показателей</x:v>
      </x:c>
    </x:row>
    <x:row r="32">
      <x:c r="A32" s="6" t="str">
        <x:v>Северсталь</x:v>
      </x:c>
      <x:c r="B32" s="6" t="str">
        <x:v>МСФО</x:v>
      </x:c>
      <x:c r="C32" s="6" t="str">
        <x:v>Северсталь_МСФО_2025.pdf</x:v>
      </x:c>
      <x:c r="D32" s="6" t="str">
        <x:v>5, 6</x:v>
      </x:c>
      <x:c r="E32" s="6" t="str">
        <x:v>Выручка, чистая прибыль, три формы</x:v>
      </x:c>
      <x:c r="F32" s="6" t="str">
        <x:v>03_Отчетность_и_скриншоты/Северсталь/</x:v>
      </x:c>
      <x:c r="G32" s="6" t="str">
        <x:v>Основной источник выручки и чистой прибыли</x:v>
      </x:c>
    </x:row>
    <x:row r="33">
      <x:c r="A33" s="6" t="str">
        <x:v>Северсталь</x:v>
      </x:c>
      <x:c r="B33" s="6" t="str">
        <x:v>Отчет эмитента</x:v>
      </x:c>
      <x:c r="C33" s="6" t="str">
        <x:v>Северсталь_отчет_эмитента_2025.pdf</x:v>
      </x:c>
      <x:c r="D33" s="6" t="str">
        <x:v>9</x:v>
      </x:c>
      <x:c r="E33" s="6" t="str">
        <x:v>EBITDA-вариант / чистый долг</x:v>
      </x:c>
      <x:c r="F33" s="6" t="str">
        <x:v>03_Отчетность_и_скриншоты/Северсталь/</x:v>
      </x:c>
      <x:c r="G33" s="6" t="str">
        <x:v>Таблица основных финансовых показателей</x:v>
      </x:c>
    </x:row>
    <x:row r="34">
      <x:c r="A34" s="6" t="str">
        <x:v>РУСАЛ</x:v>
      </x:c>
      <x:c r="B34" s="6" t="str">
        <x:v>МСФО</x:v>
      </x:c>
      <x:c r="C34" s="6" t="str">
        <x:v>Русал_МСФО_2025.pdf</x:v>
      </x:c>
      <x:c r="D34" s="6" t="str">
        <x:v>10, 11</x:v>
      </x:c>
      <x:c r="E34" s="6" t="str">
        <x:v>Выручка, чистая прибыль, три формы</x:v>
      </x:c>
      <x:c r="F34" s="6" t="str">
        <x:v>03_Отчетность_и_скриншоты/Русал/</x:v>
      </x:c>
      <x:c r="G34" s="6" t="str">
        <x:v>Основной источник выручки и чистой прибыли</x:v>
      </x:c>
    </x:row>
    <x:row r="35">
      <x:c r="A35" s="6" t="str">
        <x:v>РУСАЛ</x:v>
      </x:c>
      <x:c r="B35" s="6" t="str">
        <x:v>Отчет эмитента</x:v>
      </x:c>
      <x:c r="C35" s="6" t="str">
        <x:v>Русал_отчет_эмитента_2025.pdf</x:v>
      </x:c>
      <x:c r="D35" s="6" t="str">
        <x:v>11-12</x:v>
      </x:c>
      <x:c r="E35" s="6" t="str">
        <x:v>EBITDA-вариант / чистый долг</x:v>
      </x:c>
      <x:c r="F35" s="6" t="str">
        <x:v>03_Отчетность_и_скриншоты/Русал/</x:v>
      </x:c>
      <x:c r="G35" s="6" t="str">
        <x:v>Показатели раскрыты в млн долларов США</x:v>
      </x:c>
    </x:row>
    <x:row r="36">
      <x:c r="A36" s="6" t="str">
        <x:v>НЛМК</x:v>
      </x:c>
      <x:c r="B36" s="6" t="str">
        <x:v>МСФО</x:v>
      </x:c>
      <x:c r="C36" s="6" t="str">
        <x:v>НЛМК_МСФО_2025.pdf</x:v>
      </x:c>
      <x:c r="D36" s="6" t="str">
        <x:v>8, 9</x:v>
      </x:c>
      <x:c r="E36" s="6" t="str">
        <x:v>Выручка, чистая прибыль, три формы</x:v>
      </x:c>
      <x:c r="F36" s="6" t="str">
        <x:v>03_Отчетность_и_скриншоты/НЛМК/</x:v>
      </x:c>
      <x:c r="G36" s="6" t="str">
        <x:v>Основной источник выручки и чистой прибыли</x:v>
      </x:c>
    </x:row>
    <x:row r="37">
      <x:c r="A37" s="6" t="str">
        <x:v>НЛМК</x:v>
      </x:c>
      <x:c r="B37" s="6" t="str">
        <x:v>Отчет эмитента</x:v>
      </x:c>
      <x:c r="C37" s="6" t="str">
        <x:v>НЛМК_Отчет_эмитента_2025.pdf</x:v>
      </x:c>
      <x:c r="D37" s="6" t="str">
        <x:v>8-9</x:v>
      </x:c>
      <x:c r="E37" s="6" t="str">
        <x:v>EBITDA-вариант / чистый долг</x:v>
      </x:c>
      <x:c r="F37" s="6" t="str">
        <x:v>03_Отчетность_и_скриншоты/НЛМК/</x:v>
      </x:c>
      <x:c r="G37" s="6" t="str">
        <x:v>Таблица основных финансовых показателей</x:v>
      </x:c>
    </x:row>
    <x:row r="38">
      <x:c r="A38" s="6" t="str">
        <x:v>ФосАгро</x:v>
      </x:c>
      <x:c r="B38" s="6" t="str">
        <x:v>МСФО</x:v>
      </x:c>
      <x:c r="C38" s="6" t="str">
        <x:v>Фосагро_МСФО_2025.pdf</x:v>
      </x:c>
      <x:c r="D38" s="6" t="str">
        <x:v>8</x:v>
      </x:c>
      <x:c r="E38" s="6" t="str">
        <x:v>Выручка, чистая прибыль, три формы</x:v>
      </x:c>
      <x:c r="F38" s="6" t="str">
        <x:v>03_Отчетность_и_скриншоты/Фосагро/</x:v>
      </x:c>
      <x:c r="G38" s="6" t="str">
        <x:v>Основной источник выручки и чистой прибыли</x:v>
      </x:c>
    </x:row>
    <x:row r="39">
      <x:c r="A39" s="6" t="str">
        <x:v>ФосАгро</x:v>
      </x:c>
      <x:c r="B39" s="6" t="str">
        <x:v>Отчет эмитента</x:v>
      </x:c>
      <x:c r="C39" s="6" t="str">
        <x:v>Фосагро_отчет_эмитента_2025.rtf</x:v>
      </x:c>
      <x:c r="D39" s="6" t="str">
        <x:v>раздел 1.4.1</x:v>
      </x:c>
      <x:c r="E39" s="6" t="str">
        <x:v>EBITDA-вариант / чистый долг</x:v>
      </x:c>
      <x:c r="F39" s="6" t="str">
        <x:v>03_Отчетность_и_скриншоты/Фосагро/</x:v>
      </x:c>
      <x:c r="G39" s="6" t="str">
        <x:v>Таблица основных финансовых показателей</x:v>
      </x:c>
    </x:row>
    <x:row r="40">
      <x:c r="A40" s="6" t="str">
        <x:v>Ростелеком</x:v>
      </x:c>
      <x:c r="B40" s="6" t="str">
        <x:v>МСФО</x:v>
      </x:c>
      <x:c r="C40" s="6" t="str">
        <x:v>Ростелеком_МСФО_2025.pdf</x:v>
      </x:c>
      <x:c r="D40" s="6" t="str">
        <x:v>3</x:v>
      </x:c>
      <x:c r="E40" s="6" t="str">
        <x:v>Выручка, чистая прибыль, три формы</x:v>
      </x:c>
      <x:c r="F40" s="6" t="str">
        <x:v>03_Отчетность_и_скриншоты/Ростелеком/</x:v>
      </x:c>
      <x:c r="G40" s="6" t="str">
        <x:v>Основной источник выручки и чистой прибыли</x:v>
      </x:c>
    </x:row>
    <x:row r="41">
      <x:c r="A41" s="6" t="str">
        <x:v>Ростелеком</x:v>
      </x:c>
      <x:c r="B41" s="6" t="str">
        <x:v>Отчет эмитента</x:v>
      </x:c>
      <x:c r="C41" s="6" t="str">
        <x:v>Ростелеком_отчет_эмитента_2025.pdf</x:v>
      </x:c>
      <x:c r="D41" s="6" t="str">
        <x:v>29</x:v>
      </x:c>
      <x:c r="E41" s="6" t="str">
        <x:v>EBITDA-вариант / чистый долг</x:v>
      </x:c>
      <x:c r="F41" s="6" t="str">
        <x:v>03_Отчетность_и_скриншоты/Ростелеком/</x:v>
      </x:c>
      <x:c r="G41" s="6" t="str">
        <x:v>OIBDA</x:v>
      </x:c>
    </x:row>
    <x:row r="42">
      <x:c r="A42" s="6" t="str">
        <x:v>Аэрофлот</x:v>
      </x:c>
      <x:c r="B42" s="6" t="str">
        <x:v>МСФО</x:v>
      </x:c>
      <x:c r="C42" s="6" t="str">
        <x:v>Аэрофлот_МСФО_2025.pdf</x:v>
      </x:c>
      <x:c r="D42" s="6" t="str">
        <x:v>9, 10</x:v>
      </x:c>
      <x:c r="E42" s="6" t="str">
        <x:v>Выручка, чистая прибыль, три формы</x:v>
      </x:c>
      <x:c r="F42" s="6" t="str">
        <x:v>03_Отчетность_и_скриншоты/Аэрофлот/</x:v>
      </x:c>
      <x:c r="G42" s="6" t="str">
        <x:v>Основной источник выручки и чистой прибыли</x:v>
      </x:c>
    </x:row>
    <x:row r="43">
      <x:c r="A43" s="6" t="str">
        <x:v>Аэрофлот</x:v>
      </x:c>
      <x:c r="B43" s="6" t="str">
        <x:v>Отчет эмитента</x:v>
      </x:c>
      <x:c r="C43" s="6" t="str">
        <x:v>Аэрофлот_отчет_эмитента_2025.pdf</x:v>
      </x:c>
      <x:c r="D43" s="6" t="str">
        <x:v>27-30</x:v>
      </x:c>
      <x:c r="E43" s="6" t="str">
        <x:v>EBITDA-вариант / чистый долг</x:v>
      </x:c>
      <x:c r="F43" s="6" t="str">
        <x:v>03_Отчетность_и_скриншоты/Аэрофлот/</x:v>
      </x:c>
      <x:c r="G43" s="6" t="str">
        <x:v>EBITDA и чистый долг; методика изменена с 01.01.2025</x:v>
      </x:c>
    </x:row>
    <x:row r="44">
      <x:c r="A44" s="6" t="str">
        <x:v>Аэрофлот</x:v>
      </x:c>
      <x:c r="B44" s="6" t="str">
        <x:v>Презентация</x:v>
      </x:c>
      <x:c r="C44" s="6" t="str">
        <x:v>Аэрофлот_презентация_инвесторам_2025.pdf</x:v>
      </x:c>
      <x:c r="D44" s="6" t="n">
        <x:v>18</x:v>
      </x:c>
      <x:c r="E44" s="6" t="str">
        <x:v>EBITDA-вариант</x:v>
      </x:c>
      <x:c r="F44" s="6" t="str">
        <x:v>03_Отчетность_и_скриншоты/Аэрофлот/</x:v>
      </x:c>
      <x:c r="G44" s="6" t="str">
        <x:v>Значение и методологические примечания</x:v>
      </x:c>
    </x:row>
    <x:row r="45">
      <x:c r="A45" s="6" t="str">
        <x:v>ММК</x:v>
      </x:c>
      <x:c r="B45" s="6" t="str">
        <x:v>МСФО</x:v>
      </x:c>
      <x:c r="C45" s="6" t="str">
        <x:v>ММК_МСФО_2025.pdf</x:v>
      </x:c>
      <x:c r="D45" s="6" t="str">
        <x:v>9</x:v>
      </x:c>
      <x:c r="E45" s="6" t="str">
        <x:v>Выручка, чистая прибыль, три формы</x:v>
      </x:c>
      <x:c r="F45" s="6" t="str">
        <x:v>03_Отчетность_и_скриншоты/ММК/</x:v>
      </x:c>
      <x:c r="G45" s="6" t="str">
        <x:v>Основной источник выручки и чистой прибыли</x:v>
      </x:c>
    </x:row>
    <x:row r="46">
      <x:c r="A46" s="6" t="str">
        <x:v>ММК</x:v>
      </x:c>
      <x:c r="B46" s="6" t="str">
        <x:v>Отчет эмитента</x:v>
      </x:c>
      <x:c r="C46" s="6" t="str">
        <x:v>ММК_Отчет_эмитента_2025.pdf</x:v>
      </x:c>
      <x:c r="D46" s="6" t="str">
        <x:v>11-12</x:v>
      </x:c>
      <x:c r="E46" s="6" t="str">
        <x:v>Чистый долг / прочие показатели; EBITDA не подтверждена в ОЭ</x:v>
      </x:c>
      <x:c r="F46" s="6" t="str">
        <x:v>03_Отчетность_и_скриншоты/ММК/</x:v>
      </x:c>
      <x:c r="G46" s="6" t="str">
        <x:v>EBITDA и ее расчетные компоненты</x:v>
      </x:c>
    </x:row>
    <x:row r="47">
      <x:c r="A47" s="6" t="str">
        <x:v>Эн+ Груп</x:v>
      </x:c>
      <x:c r="B47" s="6" t="str">
        <x:v>МСФО</x:v>
      </x:c>
      <x:c r="C47" s="6" t="str">
        <x:v>Эн+_отчет_МСФО_2025.pdf</x:v>
      </x:c>
      <x:c r="D47" s="6" t="str">
        <x:v>9, 10</x:v>
      </x:c>
      <x:c r="E47" s="6" t="str">
        <x:v>Выручка, чистая прибыль, три формы</x:v>
      </x:c>
      <x:c r="F47" s="6" t="str">
        <x:v>03_Отчетность_и_скриншоты/Эн+/</x:v>
      </x:c>
      <x:c r="G47" s="6" t="str">
        <x:v>Основной источник выручки и чистой прибыли</x:v>
      </x:c>
    </x:row>
    <x:row r="48">
      <x:c r="A48" s="6" t="str">
        <x:v>Эн+ Груп</x:v>
      </x:c>
      <x:c r="B48" s="6" t="str">
        <x:v>Отчет эмитента</x:v>
      </x:c>
      <x:c r="C48" s="6" t="str">
        <x:v>Эн+_отчет_эмитента_2025.pdf</x:v>
      </x:c>
      <x:c r="D48" s="6" t="str">
        <x:v>18-19</x:v>
      </x:c>
      <x:c r="E48" s="6" t="str">
        <x:v>EBITDA-вариант / чистый долг</x:v>
      </x:c>
      <x:c r="F48" s="6" t="str">
        <x:v>03_Отчетность_и_скриншоты/Эн+/</x:v>
      </x:c>
      <x:c r="G48" s="6" t="str">
        <x:v>Скорректированная EBITDA; млн долларов США</x:v>
      </x:c>
    </x:row>
    <x:row r="49">
      <x:c r="A49" s="6" t="str">
        <x:v>MD Medical</x:v>
      </x:c>
      <x:c r="B49" s="6" t="str">
        <x:v>МСФО</x:v>
      </x:c>
      <x:c r="C49" s="6" t="str">
        <x:v>МД Медикал МСФО.pdf</x:v>
      </x:c>
      <x:c r="D49" s="6" t="str">
        <x:v>19</x:v>
      </x:c>
      <x:c r="E49" s="6" t="str">
        <x:v>Выручка, чистая прибыль, три формы</x:v>
      </x:c>
      <x:c r="F49" s="6" t="str">
        <x:v>03_Отчетность_и_скриншоты/МД Медикал/</x:v>
      </x:c>
      <x:c r="G49" s="6" t="str">
        <x:v>Основной источник выручки и чистой прибыли</x:v>
      </x:c>
    </x:row>
    <x:row r="50">
      <x:c r="A50" s="6" t="str">
        <x:v>MD Medical</x:v>
      </x:c>
      <x:c r="B50" s="6" t="str">
        <x:v>Отчет эмитента</x:v>
      </x:c>
      <x:c r="C50" s="6" t="str">
        <x:v>МД_Медикал_отчет_эмитента_2025.pdf</x:v>
      </x:c>
      <x:c r="D50" s="6" t="str">
        <x:v>15-16</x:v>
      </x:c>
      <x:c r="E50" s="6" t="str">
        <x:v>EBITDA-вариант / чистый долг</x:v>
      </x:c>
      <x:c r="F50" s="6" t="str">
        <x:v>03_Отчетность_и_скриншоты/МД Медикал/</x:v>
      </x:c>
      <x:c r="G50" s="6" t="str">
        <x:v>Таблица основных финансовых показателей</x:v>
      </x:c>
    </x:row>
    <x:row r="51">
      <x:c r="A51" s="6" t="str">
        <x:v>Лента</x:v>
      </x:c>
      <x:c r="B51" s="6" t="str">
        <x:v>МСФО</x:v>
      </x:c>
      <x:c r="C51" s="6" t="str">
        <x:v>Лента_МСФО_2025.pdf</x:v>
      </x:c>
      <x:c r="D51" s="6" t="str">
        <x:v>7</x:v>
      </x:c>
      <x:c r="E51" s="6" t="str">
        <x:v>Выручка, чистая прибыль, три формы</x:v>
      </x:c>
      <x:c r="F51" s="6" t="str">
        <x:v>03_Отчетность_и_скриншоты/Лента/</x:v>
      </x:c>
      <x:c r="G51" s="6" t="str">
        <x:v>Основной источник выручки и чистой прибыли</x:v>
      </x:c>
    </x:row>
    <x:row r="52">
      <x:c r="A52" s="6" t="str">
        <x:v>Лента</x:v>
      </x:c>
      <x:c r="B52" s="6" t="str">
        <x:v>Отчет эмитента</x:v>
      </x:c>
      <x:c r="C52" s="6" t="str">
        <x:v>Лента_отчет_эмитента_2025.pdf</x:v>
      </x:c>
      <x:c r="D52" s="6" t="str">
        <x:v>11-13</x:v>
      </x:c>
      <x:c r="E52" s="6" t="str">
        <x:v>EBITDA-вариант / чистый долг</x:v>
      </x:c>
      <x:c r="F52" s="6" t="str">
        <x:v>03_Отчетность_и_скриншоты/Лента/</x:v>
      </x:c>
      <x:c r="G52" s="6" t="str">
        <x:v>EBITDA и чистый долг</x:v>
      </x:c>
    </x:row>
    <x:row r="53">
      <x:c r="A53" s="6" t="str">
        <x:v>Совкомфлот</x:v>
      </x:c>
      <x:c r="B53" s="6" t="str">
        <x:v>МСФО</x:v>
      </x:c>
      <x:c r="C53" s="6" t="str">
        <x:v>Совкомфлот_МСФО_2025.pdf</x:v>
      </x:c>
      <x:c r="D53" s="6" t="str">
        <x:v>3, 4</x:v>
      </x:c>
      <x:c r="E53" s="6" t="str">
        <x:v>Выручка, чистая прибыль, три формы</x:v>
      </x:c>
      <x:c r="F53" s="6" t="str">
        <x:v>03_Отчетность_и_скриншоты/Совкомфлот/</x:v>
      </x:c>
      <x:c r="G53" s="6" t="str">
        <x:v>Основной источник выручки и чистой прибыли</x:v>
      </x:c>
    </x:row>
    <x:row r="54">
      <x:c r="A54" s="6" t="str">
        <x:v>Совкомфлот</x:v>
      </x:c>
      <x:c r="B54" s="6" t="str">
        <x:v>Отчет эмитента</x:v>
      </x:c>
      <x:c r="C54" s="6" t="str">
        <x:v>Совкомфлот_отчет_эмитента_2025.pdf</x:v>
      </x:c>
      <x:c r="D54" s="6" t="str">
        <x:v>10-11</x:v>
      </x:c>
      <x:c r="E54" s="6" t="str">
        <x:v>EBITDA-вариант / чистый долг</x:v>
      </x:c>
      <x:c r="F54" s="6" t="str">
        <x:v>03_Отчетность_и_скриншоты/Совкомфлот/</x:v>
      </x:c>
      <x:c r="G54" s="6" t="str">
        <x:v>Показатели раскрыты в млн долларов США; TCE как отраслевая метрика</x:v>
      </x:c>
    </x:row>
    <x:row r="55">
      <x:c r="A55" s="6" t="str">
        <x:v>Банк Санкт-Петербург</x:v>
      </x:c>
      <x:c r="B55" s="6" t="str">
        <x:v>МСФО</x:v>
      </x:c>
      <x:c r="C55" s="6" t="str">
        <x:v>Банк_Санкт_Петербург_МСФО_2025.pdf</x:v>
      </x:c>
      <x:c r="D55" s="6" t="str">
        <x:v>6</x:v>
      </x:c>
      <x:c r="E55" s="6" t="str">
        <x:v>Выручка, чистая прибыль, три формы</x:v>
      </x:c>
      <x:c r="F55" s="6" t="str">
        <x:v>03_Отчетность_и_скриншоты/Банк Санкт Петербург/</x:v>
      </x:c>
      <x:c r="G55" s="6" t="str">
        <x:v>Основной источник выручки и чистой прибыли</x:v>
      </x:c>
    </x:row>
    <x:row r="56">
      <x:c r="A56" s="6" t="str">
        <x:v>АЛРОСА</x:v>
      </x:c>
      <x:c r="B56" s="6" t="str">
        <x:v>МСФО</x:v>
      </x:c>
      <x:c r="C56" s="6" t="str">
        <x:v>Алроса_МСФО_2025.pdf</x:v>
      </x:c>
      <x:c r="D56" s="6" t="str">
        <x:v>7</x:v>
      </x:c>
      <x:c r="E56" s="6" t="str">
        <x:v>Выручка, чистая прибыль, три формы</x:v>
      </x:c>
      <x:c r="F56" s="6" t="str">
        <x:v>03_Отчетность_и_скриншоты/Алроса/</x:v>
      </x:c>
      <x:c r="G56" s="6" t="str">
        <x:v>Основной источник выручки и чистой прибыли</x:v>
      </x:c>
    </x:row>
    <x:row r="57">
      <x:c r="A57" s="6" t="str">
        <x:v>АЛРОСА</x:v>
      </x:c>
      <x:c r="B57" s="6" t="str">
        <x:v>Отчет эмитента</x:v>
      </x:c>
      <x:c r="C57" s="6" t="str">
        <x:v>Алроса_отчет_эмитента_2025.pdf</x:v>
      </x:c>
      <x:c r="D57" s="6" t="str">
        <x:v>9-10</x:v>
      </x:c>
      <x:c r="E57" s="6" t="str">
        <x:v>EBITDA-вариант / чистый долг</x:v>
      </x:c>
      <x:c r="F57" s="6" t="str">
        <x:v>03_Отчетность_и_скриншоты/Алроса/</x:v>
      </x:c>
      <x:c r="G57" s="6" t="str">
        <x:v>Таблица основных финансовых показателей</x:v>
      </x:c>
    </x:row>
    <x:row r="58">
      <x:c r="A58" s="6" t="str">
        <x:v>ЦИАН</x:v>
      </x:c>
      <x:c r="B58" s="6" t="str">
        <x:v>МСФО</x:v>
      </x:c>
      <x:c r="C58" s="6" t="str">
        <x:v>Циан_МСФО_2025.pdf</x:v>
      </x:c>
      <x:c r="D58" s="6" t="str">
        <x:v>8</x:v>
      </x:c>
      <x:c r="E58" s="6" t="str">
        <x:v>Выручка, чистая прибыль, три формы</x:v>
      </x:c>
      <x:c r="F58" s="6" t="str">
        <x:v>03_Отчетность_и_скриншоты/Циан/</x:v>
      </x:c>
      <x:c r="G58" s="6" t="str">
        <x:v>Основной источник выручки и чистой прибыли</x:v>
      </x:c>
    </x:row>
    <x:row r="59">
      <x:c r="A59" s="6" t="str">
        <x:v>ЦИАН</x:v>
      </x:c>
      <x:c r="B59" s="6" t="str">
        <x:v>Отчет эмитента</x:v>
      </x:c>
      <x:c r="C59" s="6" t="str">
        <x:v>Циан_отчет_эмитента_2025.pdf</x:v>
      </x:c>
      <x:c r="D59" s="6" t="str">
        <x:v>16-17</x:v>
      </x:c>
      <x:c r="E59" s="6" t="str">
        <x:v>EBITDA-вариант / чистый долг</x:v>
      </x:c>
      <x:c r="F59" s="6" t="str">
        <x:v>03_Отчетность_и_скриншоты/Циан/</x:v>
      </x:c>
      <x:c r="G59" s="6" t="str">
        <x:v>Скорректированная EBITDA</x:v>
      </x:c>
    </x:row>
    <x:row r="60">
      <x:c r="A60" s="6" t="str">
        <x:v>ЦИАН</x:v>
      </x:c>
      <x:c r="B60" s="6" t="str">
        <x:v>Презентация</x:v>
      </x:c>
      <x:c r="C60" s="6" t="str">
        <x:v>Циан_презентация_2025.pdf</x:v>
      </x:c>
      <x:c r="D60" s="6" t="n">
        <x:v>13</x:v>
      </x:c>
      <x:c r="E60" s="6" t="str">
        <x:v>EBITDA-вариант</x:v>
      </x:c>
      <x:c r="F60" s="6" t="str">
        <x:v>03_Отчетность_и_скриншоты/Циан/</x:v>
      </x:c>
      <x:c r="G60" s="6" t="str">
        <x:v>Значение и методологические примечания</x:v>
      </x:c>
    </x:row>
    <x:row r="61">
      <x:c r="A61" s="6" t="str">
        <x:v>АФК Система</x:v>
      </x:c>
      <x:c r="B61" s="6" t="str">
        <x:v>МСФО</x:v>
      </x:c>
      <x:c r="C61" s="6" t="str">
        <x:v>АФК_Система_МСФО_2025.pdf</x:v>
      </x:c>
      <x:c r="D61" s="6" t="str">
        <x:v>8, 9</x:v>
      </x:c>
      <x:c r="E61" s="6" t="str">
        <x:v>Выручка, чистая прибыль, три формы</x:v>
      </x:c>
      <x:c r="F61" s="6" t="str">
        <x:v>03_Отчетность_и_скриншоты/АФК_Система/</x:v>
      </x:c>
      <x:c r="G61" s="6" t="str">
        <x:v>Основной источник выручки и чистой прибыли</x:v>
      </x:c>
    </x:row>
    <x:row r="62">
      <x:c r="A62" s="6" t="str">
        <x:v>АФК Система</x:v>
      </x:c>
      <x:c r="B62" s="6" t="str">
        <x:v>Отчет эмитента</x:v>
      </x:c>
      <x:c r="C62" s="6" t="str">
        <x:v>АФК_Система_Отчет_Эмитента_2025.pdf</x:v>
      </x:c>
      <x:c r="D62" s="6" t="str">
        <x:v>26-27</x:v>
      </x:c>
      <x:c r="E62" s="6" t="str">
        <x:v>EBITDA-вариант / чистый долг</x:v>
      </x:c>
      <x:c r="F62" s="6" t="str">
        <x:v>03_Отчетность_и_скриншоты/АФК_Система/</x:v>
      </x:c>
      <x:c r="G62" s="6" t="str">
        <x:v>OIBDA; исходные значения раскрыты в тыс. руб. и переведены в млн руб.</x:v>
      </x:c>
    </x:row>
  </x:sheetData>
  <x:mergeCells>
    <x:mergeCell ref="A1:G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3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70" hidden="0" customWidth="1"/>
  </x:cols>
  <x:sheetData>
    <x:row r="1" ht="27" customHeight="1">
      <x:c r="A1" s="2" t="str">
        <x:v>Проверки полноты и расчетов</x:v>
      </x:c>
      <x:c r="B1" s="2"/>
      <x:c r="C1" s="2"/>
      <x:c r="D1" s="2"/>
      <x:c r="E1" s="2"/>
      <x:c r="F1" s="2"/>
      <x:c r="G1" s="2"/>
      <x:c r="H1" s="2"/>
    </x:row>
    <x:row r="3" ht="48" customHeight="1">
      <x:c r="A3" s="9" t="str">
        <x:v>Проверка</x:v>
      </x:c>
      <x:c r="B3" s="9" t="str">
        <x:v>Компания</x:v>
      </x:c>
      <x:c r="C3" s="9" t="str">
        <x:v>Год</x:v>
      </x:c>
      <x:c r="D3" s="9" t="str">
        <x:v>Раскрыто</x:v>
      </x:c>
      <x:c r="E3" s="9" t="str">
        <x:v>Расчет</x:v>
      </x:c>
      <x:c r="F3" s="9" t="str">
        <x:v>Разница</x:v>
      </x:c>
      <x:c r="G3" s="9" t="str">
        <x:v>Статус</x:v>
      </x:c>
      <x:c r="H3" s="9" t="str">
        <x:v>Комментарий</x:v>
      </x:c>
    </x:row>
    <x:row r="4">
      <x:c r="A4" s="6" t="str">
        <x:v>Пересчет EBITDA по методике</x:v>
      </x:c>
      <x:c r="B4" s="6" t="str">
        <x:v>ГАЗПРОМ</x:v>
      </x:c>
      <x:c r="C4" s="6" t="n">
        <x:v>2024</x:v>
      </x:c>
      <x:c r="D4" s="40" t="n">
        <x:v>3107875</x:v>
      </x:c>
      <x:c r="E4" s="40"/>
      <x:c r="F4" s="40" t="str">
        <x:v>н.д.</x:v>
      </x:c>
      <x:c r="G4" s="6" t="str">
        <x:v>Проверить</x:v>
      </x:c>
      <x:c r="H4" s="6" t="str">
        <x:v>Операционная прибыль + амортизация + обесценение активов − соответствующие резервы</x:v>
      </x:c>
    </x:row>
    <x:row r="5">
      <x:c r="A5" s="6" t="str">
        <x:v>Пересчет EBITDA по методике</x:v>
      </x:c>
      <x:c r="B5" s="6" t="str">
        <x:v>ГАЗПРОМ</x:v>
      </x:c>
      <x:c r="C5" s="6" t="n">
        <x:v>2025</x:v>
      </x:c>
      <x:c r="D5" s="40" t="n">
        <x:v>2917332</x:v>
      </x:c>
      <x:c r="E5" s="40" t="n">
        <x:v>2917332</x:v>
      </x:c>
      <x:c r="F5" s="40" t="n">
        <x:v>0</x:v>
      </x:c>
      <x:c r="G5" s="6" t="str">
        <x:v>OK</x:v>
      </x:c>
      <x:c r="H5" s="6" t="str">
        <x:v>Операционная прибыль + амортизация + обесценение активов − соответствующие резервы</x:v>
      </x:c>
    </x:row>
    <x:row r="6">
      <x:c r="A6" s="6" t="str">
        <x:v>Пересчет EBITDA по методике</x:v>
      </x:c>
      <x:c r="B6" s="6" t="str">
        <x:v>ЯНДЕКС</x:v>
      </x:c>
      <x:c r="C6" s="6" t="n">
        <x:v>2024</x:v>
      </x:c>
      <x:c r="D6" s="40" t="n">
        <x:v>188601</x:v>
      </x:c>
      <x:c r="E6" s="40"/>
      <x:c r="F6" s="40" t="str">
        <x:v>н.д.</x:v>
      </x:c>
      <x:c r="G6" s="6" t="str">
        <x:v>Проверить</x:v>
      </x:c>
      <x:c r="H6" s="6" t="str">
        <x:v>Чистая прибыль до амортизации, налога, финансовых статей и иных корректировок по определению компании</x:v>
      </x:c>
    </x:row>
    <x:row r="7">
      <x:c r="A7" s="6" t="str">
        <x:v>Пересчет EBITDA по методике</x:v>
      </x:c>
      <x:c r="B7" s="6" t="str">
        <x:v>ЯНДЕКС</x:v>
      </x:c>
      <x:c r="C7" s="6" t="n">
        <x:v>2025</x:v>
      </x:c>
      <x:c r="D7" s="40" t="n">
        <x:v>280834</x:v>
      </x:c>
      <x:c r="E7" s="40"/>
      <x:c r="F7" s="40" t="str">
        <x:v>н.д.</x:v>
      </x:c>
      <x:c r="G7" s="6" t="str">
        <x:v>Проверить</x:v>
      </x:c>
      <x:c r="H7" s="6" t="str">
        <x:v>Чистая прибыль до амортизации, налога, финансовых статей и иных корректировок по определению компании</x:v>
      </x:c>
    </x:row>
    <x:row r="8">
      <x:c r="A8" s="6" t="str">
        <x:v>Пересчет EBITDA по методике</x:v>
      </x:c>
      <x:c r="B8" s="6" t="str">
        <x:v>Норникель</x:v>
      </x:c>
      <x:c r="C8" s="6" t="n">
        <x:v>2024</x:v>
      </x:c>
      <x:c r="D8" s="40" t="n">
        <x:v>5196</x:v>
      </x:c>
      <x:c r="E8" s="40"/>
      <x:c r="F8" s="40" t="str">
        <x:v>н.д.</x:v>
      </x:c>
      <x:c r="G8" s="6" t="str">
        <x:v>Проверить</x:v>
      </x:c>
      <x:c r="H8" s="6" t="str">
        <x:v>EBITDA отчетных сегментов − нераспределенные статьи</x:v>
      </x:c>
    </x:row>
    <x:row r="9">
      <x:c r="A9" s="6" t="str">
        <x:v>Пересчет EBITDA по методике</x:v>
      </x:c>
      <x:c r="B9" s="6" t="str">
        <x:v>Норникель</x:v>
      </x:c>
      <x:c r="C9" s="6" t="n">
        <x:v>2025</x:v>
      </x:c>
      <x:c r="D9" s="40" t="n">
        <x:v>5668</x:v>
      </x:c>
      <x:c r="E9" s="40" t="n">
        <x:v>5668</x:v>
      </x:c>
      <x:c r="F9" s="40" t="n">
        <x:v>0</x:v>
      </x:c>
      <x:c r="G9" s="6" t="str">
        <x:v>OK</x:v>
      </x:c>
      <x:c r="H9" s="6" t="str">
        <x:v>EBITDA отчетных сегментов − нераспределенные статьи</x:v>
      </x:c>
    </x:row>
    <x:row r="10">
      <x:c r="A10" s="6" t="str">
        <x:v>Пересчет EBITDA по методике</x:v>
      </x:c>
      <x:c r="B10" s="6" t="str">
        <x:v>HeadHunter</x:v>
      </x:c>
      <x:c r="C10" s="6" t="n">
        <x:v>2024</x:v>
      </x:c>
      <x:c r="D10" s="40" t="n">
        <x:v>23229.459</x:v>
      </x:c>
      <x:c r="E10" s="40" t="n">
        <x:v>23229.459</x:v>
      </x:c>
      <x:c r="F10" s="40" t="n">
        <x:v>0</x:v>
      </x:c>
      <x:c r="G10" s="6" t="str">
        <x:v>OK</x:v>
      </x:c>
      <x:c r="H10" s="6" t="str">
        <x:v>EBITDA + выплаты акциями + курсовые и иные раскрытые корректировки</x:v>
      </x:c>
    </x:row>
    <x:row r="11">
      <x:c r="A11" s="6" t="str">
        <x:v>Пересчет EBITDA по методике</x:v>
      </x:c>
      <x:c r="B11" s="6" t="str">
        <x:v>HeadHunter</x:v>
      </x:c>
      <x:c r="C11" s="6" t="n">
        <x:v>2025</x:v>
      </x:c>
      <x:c r="D11" s="40" t="n">
        <x:v>22761.895</x:v>
      </x:c>
      <x:c r="E11" s="40" t="n">
        <x:v>22761.895</x:v>
      </x:c>
      <x:c r="F11" s="40" t="n">
        <x:v>0</x:v>
      </x:c>
      <x:c r="G11" s="6" t="str">
        <x:v>OK</x:v>
      </x:c>
      <x:c r="H11" s="6" t="str">
        <x:v>EBITDA + выплаты акциями + курсовые и иные раскрытые корректировки</x:v>
      </x:c>
    </x:row>
    <x:row r="12">
      <x:c r="A12" s="6" t="str">
        <x:v>Пересчет EBITDA по методике</x:v>
      </x:c>
      <x:c r="B12" s="6" t="str">
        <x:v>МТС</x:v>
      </x:c>
      <x:c r="C12" s="6" t="n">
        <x:v>2024</x:v>
      </x:c>
      <x:c r="D12" s="40" t="n">
        <x:v>246432</x:v>
      </x:c>
      <x:c r="E12" s="40" t="n">
        <x:v>246432</x:v>
      </x:c>
      <x:c r="F12" s="40" t="n">
        <x:v>0</x:v>
      </x:c>
      <x:c r="G12" s="6" t="str">
        <x:v>OK</x:v>
      </x:c>
      <x:c r="H12" s="6" t="str">
        <x:v>Операционная прибыль + амортизация основных средств и НМА</x:v>
      </x:c>
    </x:row>
    <x:row r="13">
      <x:c r="A13" s="6" t="str">
        <x:v>Пересчет EBITDA по методике</x:v>
      </x:c>
      <x:c r="B13" s="6" t="str">
        <x:v>МТС</x:v>
      </x:c>
      <x:c r="C13" s="6" t="n">
        <x:v>2025</x:v>
      </x:c>
      <x:c r="D13" s="40" t="n">
        <x:v>279695</x:v>
      </x:c>
      <x:c r="E13" s="40" t="n">
        <x:v>279695</x:v>
      </x:c>
      <x:c r="F13" s="40" t="n">
        <x:v>0</x:v>
      </x:c>
      <x:c r="G13" s="6" t="str">
        <x:v>OK</x:v>
      </x:c>
      <x:c r="H13" s="6" t="str">
        <x:v>Операционная прибыль + амортизация основных средств и НМА</x:v>
      </x:c>
    </x:row>
    <x:row r="14">
      <x:c r="A14" s="6" t="str">
        <x:v>Пересчет EBITDA по методике</x:v>
      </x:c>
      <x:c r="B14" s="6" t="str">
        <x:v>Аэрофлот</x:v>
      </x:c>
      <x:c r="C14" s="6" t="n">
        <x:v>2024</x:v>
      </x:c>
      <x:c r="D14" s="40" t="n">
        <x:v>214075</x:v>
      </x:c>
      <x:c r="E14" s="40"/>
      <x:c r="F14" s="40" t="str">
        <x:v>н.д.</x:v>
      </x:c>
      <x:c r="G14" s="6" t="str">
        <x:v>Проверить</x:v>
      </x:c>
      <x:c r="H14" s="6" t="str">
        <x:v>EBITDA с корректировками компании на таможенные пошлины, страховое урегулирование и резервы</x:v>
      </x:c>
    </x:row>
    <x:row r="15">
      <x:c r="A15" s="6" t="str">
        <x:v>Пересчет EBITDA по методике</x:v>
      </x:c>
      <x:c r="B15" s="6" t="str">
        <x:v>Аэрофлот</x:v>
      </x:c>
      <x:c r="C15" s="6" t="n">
        <x:v>2025</x:v>
      </x:c>
      <x:c r="D15" s="40" t="n">
        <x:v>253651</x:v>
      </x:c>
      <x:c r="E15" s="40"/>
      <x:c r="F15" s="40" t="str">
        <x:v>н.д.</x:v>
      </x:c>
      <x:c r="G15" s="6" t="str">
        <x:v>Проверить</x:v>
      </x:c>
      <x:c r="H15" s="6" t="str">
        <x:v>EBITDA с корректировками компании на таможенные пошлины, страховое урегулирование и резервы</x:v>
      </x:c>
    </x:row>
    <x:row r="16">
      <x:c r="A16" s="6" t="str">
        <x:v>Пересчет EBITDA по методике</x:v>
      </x:c>
      <x:c r="B16" s="6" t="str">
        <x:v>ММК</x:v>
      </x:c>
      <x:c r="C16" s="6" t="n">
        <x:v>2024</x:v>
      </x:c>
      <x:c r="D16" s="40" t="n">
        <x:v>153023</x:v>
      </x:c>
      <x:c r="E16" s="40" t="n">
        <x:v>153023</x:v>
      </x:c>
      <x:c r="F16" s="40" t="n">
        <x:v>0</x:v>
      </x:c>
      <x:c r="G16" s="6" t="str">
        <x:v>OK</x:v>
      </x:c>
      <x:c r="H16" s="6" t="str">
        <x:v>Операционная прибыль + амортизация − прибыль от выбытия ОС + доход от инвестиций</x:v>
      </x:c>
    </x:row>
    <x:row r="17">
      <x:c r="A17" s="6" t="str">
        <x:v>Пересчет EBITDA по методике</x:v>
      </x:c>
      <x:c r="B17" s="6" t="str">
        <x:v>ММК</x:v>
      </x:c>
      <x:c r="C17" s="6" t="n">
        <x:v>2025</x:v>
      </x:c>
      <x:c r="D17" s="40" t="n">
        <x:v>80757</x:v>
      </x:c>
      <x:c r="E17" s="40" t="n">
        <x:v>80757</x:v>
      </x:c>
      <x:c r="F17" s="40" t="n">
        <x:v>0</x:v>
      </x:c>
      <x:c r="G17" s="6" t="str">
        <x:v>OK</x:v>
      </x:c>
      <x:c r="H17" s="6" t="str">
        <x:v>Операционная прибыль + амортизация − прибыль от выбытия ОС + доход от инвестиций</x:v>
      </x:c>
    </x:row>
    <x:row r="18">
      <x:c r="A18" s="6" t="str">
        <x:v>Пересчет EBITDA по методике</x:v>
      </x:c>
      <x:c r="B18" s="6" t="str">
        <x:v>ЦИАН</x:v>
      </x:c>
      <x:c r="C18" s="6" t="n">
        <x:v>2024</x:v>
      </x:c>
      <x:c r="D18" s="40" t="n">
        <x:v>3207</x:v>
      </x:c>
      <x:c r="E18" s="40"/>
      <x:c r="F18" s="40" t="str">
        <x:v>н.д.</x:v>
      </x:c>
      <x:c r="G18" s="6" t="str">
        <x:v>Проверить</x:v>
      </x:c>
      <x:c r="H18" s="6" t="str">
        <x:v>Прибыль + налог + финансовые расходы − финансовые доходы ± курсовые разницы + амортизация + выплаты акциями ± прочие/разовые статьи</x:v>
      </x:c>
    </x:row>
    <x:row r="19">
      <x:c r="A19" s="6" t="str">
        <x:v>Пересчет EBITDA по методике</x:v>
      </x:c>
      <x:c r="B19" s="6" t="str">
        <x:v>ЦИАН</x:v>
      </x:c>
      <x:c r="C19" s="6" t="n">
        <x:v>2025</x:v>
      </x:c>
      <x:c r="D19" s="40" t="n">
        <x:v>3570</x:v>
      </x:c>
      <x:c r="E19" s="40"/>
      <x:c r="F19" s="40" t="str">
        <x:v>н.д.</x:v>
      </x:c>
      <x:c r="G19" s="6" t="str">
        <x:v>Проверить</x:v>
      </x:c>
      <x:c r="H19" s="6" t="str">
        <x:v>Прибыль + налог + финансовые расходы − финансовые доходы ± курсовые разницы + амортизация + выплаты акциями ± прочие/разовые статьи</x:v>
      </x:c>
    </x:row>
    <x:row r="20">
      <x:c r="A20" s="6" t="str">
        <x:v>Покрытие 2023</x:v>
      </x:c>
      <x:c r="B20" s="6" t="str">
        <x:v>Все компании</x:v>
      </x:c>
      <x:c r="C20" s="6" t="n">
        <x:v>2023</x:v>
      </x:c>
      <x:c r="D20" s="40" t="str">
        <x:v>н.д.</x:v>
      </x:c>
      <x:c r="E20" s="40" t="str">
        <x:v>н.д.</x:v>
      </x:c>
      <x:c r="F20" s="40" t="str">
        <x:v>н.д.</x:v>
      </x:c>
      <x:c r="G20" s="6" t="str">
        <x:v>Ограничение</x:v>
      </x:c>
      <x:c r="H20" s="6" t="str">
        <x:v>В большинстве пакетов нет отчета за 2024 год со сравнением 2023</x:v>
      </x:c>
    </x:row>
    <x:row r="21">
      <x:c r="A21" s="6" t="str">
        <x:v>Котировки</x:v>
      </x:c>
      <x:c r="B21" s="6" t="str">
        <x:v>Все компании</x:v>
      </x:c>
      <x:c r="C21" s="6" t="n">
        <x:v>2025</x:v>
      </x:c>
      <x:c r="D21" s="40" t="str">
        <x:v>Исключены</x:v>
      </x:c>
      <x:c r="E21" s="40" t="str">
        <x:v>Исключены</x:v>
      </x:c>
      <x:c r="F21" s="40" t="str">
        <x:v>н.п.</x:v>
      </x:c>
      <x:c r="G21" s="6" t="str">
        <x:v>По ТЗ</x:v>
      </x:c>
      <x:c r="H21" s="6" t="str">
        <x:v>Общая таблица котировок не создается</x:v>
      </x:c>
    </x:row>
    <x:row r="22">
      <x:c r="A22" s="6" t="str">
        <x:v>Мультипликаторы</x:v>
      </x:c>
      <x:c r="B22" s="6" t="str">
        <x:v>Все компании</x:v>
      </x:c>
      <x:c r="C22" s="6" t="n">
        <x:v>2025</x:v>
      </x:c>
      <x:c r="D22" s="40" t="str">
        <x:v>Не рассчитаны</x:v>
      </x:c>
      <x:c r="E22" s="40" t="str">
        <x:v>Не рассчитаны</x:v>
      </x:c>
      <x:c r="F22" s="40" t="str">
        <x:v>н.п.</x:v>
      </x:c>
      <x:c r="G22" s="6" t="str">
        <x:v>По ТЗ</x:v>
      </x:c>
      <x:c r="H22" s="6" t="str">
        <x:v>Пользователь рассчитывает самостоятельно</x:v>
      </x:c>
    </x:row>
  </x:sheetData>
  <x:mergeCells>
    <x:mergeCell ref="A1:H1"/>
  </x:mergeCells>
  <x:pageMargins left="0.7" right="0.7" top="0.75" bottom="0.75" header="0.3" footer="0.3"/>
</x:worksheet>
</file>